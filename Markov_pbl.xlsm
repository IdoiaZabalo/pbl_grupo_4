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pbl_grupo_4\"/>
    </mc:Choice>
  </mc:AlternateContent>
  <xr:revisionPtr revIDLastSave="0" documentId="13_ncr:1_{77568FE7-40E6-4BF7-96ED-84019CE2A024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Param" sheetId="13" r:id="rId1"/>
    <sheet name="Alternativa2" sheetId="15" r:id="rId2"/>
    <sheet name="Alternativa1" sheetId="7" r:id="rId3"/>
    <sheet name="Efectividad" sheetId="10" r:id="rId4"/>
    <sheet name="Coste" sheetId="12" r:id="rId5"/>
    <sheet name="Sumario" sheetId="6" r:id="rId6"/>
  </sheets>
  <definedNames>
    <definedName name="c_A">Param!$B$23</definedName>
    <definedName name="c_B">Param!$B$24</definedName>
    <definedName name="c_C">Param!#REF!</definedName>
    <definedName name="Ctto1">Param!$B$16</definedName>
    <definedName name="Ctto2">Param!$E$16</definedName>
    <definedName name="Descuento">Param!$B$20</definedName>
    <definedName name="p_AA1">Param!$B$4</definedName>
    <definedName name="p_AA2">Param!$E$4</definedName>
    <definedName name="p_AB1">Param!$B$5</definedName>
    <definedName name="p_AB2">Param!$E$5</definedName>
    <definedName name="p_AC1">Param!$B$6</definedName>
    <definedName name="p_AC2">Param!$E$6</definedName>
    <definedName name="p_AD1">Param!$B$7</definedName>
    <definedName name="p_AD2">Param!$E$7</definedName>
    <definedName name="p_BB1">Param!$B$8</definedName>
    <definedName name="p_BB2">Param!$E$8</definedName>
    <definedName name="p_BC1">Param!$B$9</definedName>
    <definedName name="p_BC2">Param!$E$9</definedName>
    <definedName name="p_BD1">Param!$B$10</definedName>
    <definedName name="p_BD2">Param!$E$10</definedName>
    <definedName name="p_CC1">Param!$B$11</definedName>
    <definedName name="p_CC2">Param!$E$11</definedName>
    <definedName name="p_CD1">Param!$B$12</definedName>
    <definedName name="p_CD2">Param!$E$12</definedName>
    <definedName name="u_A">Param!$B$29</definedName>
    <definedName name="u_B">Param!$B$30</definedName>
    <definedName name="u_C">Param!$B$31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12" l="1"/>
  <c r="G10" i="6"/>
  <c r="C10" i="6"/>
  <c r="G9" i="6"/>
  <c r="F9" i="6"/>
  <c r="C9" i="6"/>
  <c r="B9" i="6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16" i="7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16" i="15"/>
  <c r="C6" i="12"/>
  <c r="M6" i="12"/>
  <c r="F10" i="6" s="1"/>
  <c r="F11" i="6" s="1"/>
  <c r="L6" i="12"/>
  <c r="K6" i="12"/>
  <c r="I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11" i="12"/>
  <c r="L6" i="10"/>
  <c r="K6" i="10"/>
  <c r="J6" i="10"/>
  <c r="I6" i="10"/>
  <c r="H6" i="10"/>
  <c r="E6" i="10"/>
  <c r="D6" i="10"/>
  <c r="C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K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11" i="10"/>
  <c r="F12" i="7"/>
  <c r="E12" i="7"/>
  <c r="D12" i="7"/>
  <c r="C12" i="7"/>
  <c r="B12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16" i="7"/>
  <c r="E16" i="15"/>
  <c r="F11" i="12"/>
  <c r="D16" i="15"/>
  <c r="E11" i="12"/>
  <c r="C16" i="15"/>
  <c r="D11" i="10"/>
  <c r="B16" i="15"/>
  <c r="B17" i="15"/>
  <c r="F12" i="15" a="1"/>
  <c r="A12" i="10"/>
  <c r="A12" i="12"/>
  <c r="C17" i="15"/>
  <c r="D12" i="12"/>
  <c r="D17" i="15"/>
  <c r="E12" i="10"/>
  <c r="B18" i="15"/>
  <c r="E17" i="15"/>
  <c r="F12" i="12"/>
  <c r="F11" i="10"/>
  <c r="A13" i="10"/>
  <c r="A13" i="12"/>
  <c r="D11" i="12"/>
  <c r="E11" i="10"/>
  <c r="C11" i="10"/>
  <c r="E12" i="12"/>
  <c r="C18" i="15"/>
  <c r="C19" i="15"/>
  <c r="D18" i="15"/>
  <c r="E13" i="12"/>
  <c r="E18" i="15"/>
  <c r="F13" i="12"/>
  <c r="A14" i="10"/>
  <c r="A14" i="12"/>
  <c r="B19" i="15"/>
  <c r="C20" i="15"/>
  <c r="C12" i="10"/>
  <c r="D12" i="10"/>
  <c r="D13" i="10"/>
  <c r="D13" i="12"/>
  <c r="E19" i="15"/>
  <c r="E13" i="10"/>
  <c r="D19" i="15"/>
  <c r="D20" i="15"/>
  <c r="B20" i="15"/>
  <c r="C21" i="15"/>
  <c r="A15" i="10"/>
  <c r="D14" i="12"/>
  <c r="A15" i="12"/>
  <c r="D14" i="10"/>
  <c r="C13" i="10"/>
  <c r="E14" i="12"/>
  <c r="E15" i="12"/>
  <c r="F14" i="12"/>
  <c r="E20" i="15"/>
  <c r="E14" i="10"/>
  <c r="D21" i="15"/>
  <c r="A16" i="10"/>
  <c r="E15" i="10"/>
  <c r="D15" i="12"/>
  <c r="A16" i="12"/>
  <c r="B21" i="15"/>
  <c r="C22" i="15"/>
  <c r="D15" i="10"/>
  <c r="C14" i="10"/>
  <c r="E16" i="12"/>
  <c r="F15" i="12"/>
  <c r="E21" i="15"/>
  <c r="F16" i="12"/>
  <c r="D22" i="15"/>
  <c r="D16" i="12"/>
  <c r="A17" i="12"/>
  <c r="E16" i="10"/>
  <c r="A17" i="10"/>
  <c r="B22" i="15"/>
  <c r="E22" i="15"/>
  <c r="C15" i="10"/>
  <c r="D16" i="10"/>
  <c r="F17" i="12"/>
  <c r="E17" i="12"/>
  <c r="D23" i="15"/>
  <c r="E17" i="10"/>
  <c r="A18" i="10"/>
  <c r="A18" i="12"/>
  <c r="D17" i="12"/>
  <c r="C23" i="15"/>
  <c r="B23" i="15"/>
  <c r="E23" i="15"/>
  <c r="C16" i="10"/>
  <c r="F18" i="12"/>
  <c r="E18" i="12"/>
  <c r="E24" i="15"/>
  <c r="C24" i="15"/>
  <c r="A19" i="12"/>
  <c r="D18" i="12"/>
  <c r="E18" i="10"/>
  <c r="A19" i="10"/>
  <c r="B24" i="15"/>
  <c r="D24" i="15"/>
  <c r="D17" i="10"/>
  <c r="C17" i="10"/>
  <c r="D18" i="10"/>
  <c r="E19" i="12"/>
  <c r="F19" i="12"/>
  <c r="C25" i="15"/>
  <c r="D25" i="15"/>
  <c r="E25" i="15"/>
  <c r="E19" i="10"/>
  <c r="A20" i="10"/>
  <c r="B25" i="15"/>
  <c r="A20" i="12"/>
  <c r="D19" i="12"/>
  <c r="C18" i="10"/>
  <c r="D19" i="10"/>
  <c r="E20" i="12"/>
  <c r="F20" i="12"/>
  <c r="D26" i="15"/>
  <c r="E26" i="15"/>
  <c r="C26" i="15"/>
  <c r="A21" i="10"/>
  <c r="E20" i="10"/>
  <c r="B26" i="15"/>
  <c r="D20" i="12"/>
  <c r="A21" i="12"/>
  <c r="C19" i="10"/>
  <c r="D20" i="10"/>
  <c r="F21" i="12"/>
  <c r="E21" i="12"/>
  <c r="D27" i="15"/>
  <c r="B27" i="15"/>
  <c r="A22" i="10"/>
  <c r="E21" i="10"/>
  <c r="E27" i="15"/>
  <c r="D21" i="12"/>
  <c r="A22" i="12"/>
  <c r="C27" i="15"/>
  <c r="C20" i="10"/>
  <c r="D21" i="10"/>
  <c r="F22" i="12"/>
  <c r="E22" i="12"/>
  <c r="E28" i="15"/>
  <c r="D28" i="15"/>
  <c r="E22" i="10"/>
  <c r="A23" i="10"/>
  <c r="C28" i="15"/>
  <c r="D22" i="12"/>
  <c r="A23" i="12"/>
  <c r="B28" i="15"/>
  <c r="D22" i="10"/>
  <c r="C21" i="10"/>
  <c r="F23" i="12"/>
  <c r="E23" i="12"/>
  <c r="C29" i="15"/>
  <c r="E23" i="10"/>
  <c r="A24" i="10"/>
  <c r="B29" i="15"/>
  <c r="D23" i="12"/>
  <c r="A24" i="12"/>
  <c r="E29" i="15"/>
  <c r="D29" i="15"/>
  <c r="C22" i="10"/>
  <c r="D23" i="10"/>
  <c r="E24" i="12"/>
  <c r="F24" i="12"/>
  <c r="B30" i="15"/>
  <c r="D30" i="15"/>
  <c r="C30" i="15"/>
  <c r="E30" i="15"/>
  <c r="D24" i="12"/>
  <c r="A25" i="12"/>
  <c r="E24" i="10"/>
  <c r="A25" i="10"/>
  <c r="D24" i="10"/>
  <c r="C23" i="10"/>
  <c r="F25" i="12"/>
  <c r="E25" i="12"/>
  <c r="C31" i="15"/>
  <c r="B31" i="15"/>
  <c r="D31" i="15"/>
  <c r="E31" i="15"/>
  <c r="E25" i="10"/>
  <c r="A26" i="10"/>
  <c r="D25" i="12"/>
  <c r="A26" i="12"/>
  <c r="C24" i="10"/>
  <c r="D25" i="10"/>
  <c r="F26" i="12"/>
  <c r="E26" i="12"/>
  <c r="E32" i="15"/>
  <c r="C32" i="15"/>
  <c r="A27" i="10"/>
  <c r="E26" i="10"/>
  <c r="D32" i="15"/>
  <c r="A27" i="12"/>
  <c r="D26" i="12"/>
  <c r="B32" i="15"/>
  <c r="C25" i="10"/>
  <c r="D26" i="10"/>
  <c r="F27" i="12"/>
  <c r="E27" i="12"/>
  <c r="D33" i="15"/>
  <c r="E33" i="15"/>
  <c r="C33" i="15"/>
  <c r="D27" i="12"/>
  <c r="A28" i="12"/>
  <c r="B33" i="15"/>
  <c r="E27" i="10"/>
  <c r="A28" i="10"/>
  <c r="C26" i="10"/>
  <c r="D27" i="10"/>
  <c r="F28" i="12"/>
  <c r="E28" i="12"/>
  <c r="E34" i="15"/>
  <c r="B34" i="15"/>
  <c r="E28" i="10"/>
  <c r="A29" i="10"/>
  <c r="D34" i="15"/>
  <c r="D28" i="12"/>
  <c r="A29" i="12"/>
  <c r="C34" i="15"/>
  <c r="D28" i="10"/>
  <c r="C27" i="10"/>
  <c r="F29" i="12"/>
  <c r="E29" i="12"/>
  <c r="B35" i="15"/>
  <c r="D29" i="12"/>
  <c r="A30" i="12"/>
  <c r="D35" i="15"/>
  <c r="E29" i="10"/>
  <c r="A30" i="10"/>
  <c r="E35" i="15"/>
  <c r="C35" i="15"/>
  <c r="C28" i="10"/>
  <c r="D29" i="10"/>
  <c r="F30" i="12"/>
  <c r="E30" i="12"/>
  <c r="D36" i="15"/>
  <c r="D30" i="12"/>
  <c r="A31" i="12"/>
  <c r="E36" i="15"/>
  <c r="C36" i="15"/>
  <c r="E30" i="10"/>
  <c r="A31" i="10"/>
  <c r="B36" i="15"/>
  <c r="D30" i="10"/>
  <c r="C29" i="10"/>
  <c r="E31" i="12"/>
  <c r="F31" i="12"/>
  <c r="C37" i="15"/>
  <c r="E37" i="15"/>
  <c r="D31" i="12"/>
  <c r="A32" i="12"/>
  <c r="B37" i="15"/>
  <c r="E31" i="10"/>
  <c r="A32" i="10"/>
  <c r="D37" i="15"/>
  <c r="D31" i="10"/>
  <c r="C30" i="10"/>
  <c r="E32" i="12"/>
  <c r="F32" i="12"/>
  <c r="E38" i="15"/>
  <c r="D38" i="15"/>
  <c r="B38" i="15"/>
  <c r="E32" i="10"/>
  <c r="A33" i="10"/>
  <c r="A33" i="12"/>
  <c r="D32" i="12"/>
  <c r="C38" i="15"/>
  <c r="D32" i="10"/>
  <c r="C31" i="10"/>
  <c r="F33" i="12"/>
  <c r="E33" i="12"/>
  <c r="C39" i="15"/>
  <c r="E33" i="10"/>
  <c r="A34" i="10"/>
  <c r="D33" i="12"/>
  <c r="A34" i="12"/>
  <c r="E39" i="15"/>
  <c r="B39" i="15"/>
  <c r="D39" i="15"/>
  <c r="C32" i="10"/>
  <c r="D33" i="10"/>
  <c r="E34" i="12"/>
  <c r="F34" i="12"/>
  <c r="D40" i="15"/>
  <c r="E34" i="10"/>
  <c r="A35" i="10"/>
  <c r="E40" i="15"/>
  <c r="B40" i="15"/>
  <c r="A35" i="12"/>
  <c r="D34" i="12"/>
  <c r="C40" i="15"/>
  <c r="C33" i="10"/>
  <c r="D34" i="10"/>
  <c r="E35" i="12"/>
  <c r="F35" i="12"/>
  <c r="E41" i="15"/>
  <c r="B41" i="15"/>
  <c r="C41" i="15"/>
  <c r="D41" i="15"/>
  <c r="E35" i="10"/>
  <c r="A36" i="10"/>
  <c r="A36" i="12"/>
  <c r="D35" i="12"/>
  <c r="C34" i="10"/>
  <c r="D35" i="10"/>
  <c r="F36" i="12"/>
  <c r="E36" i="12"/>
  <c r="C42" i="15"/>
  <c r="D42" i="15"/>
  <c r="E42" i="15"/>
  <c r="A37" i="10"/>
  <c r="E36" i="10"/>
  <c r="D36" i="12"/>
  <c r="A37" i="12"/>
  <c r="B42" i="15"/>
  <c r="C35" i="10"/>
  <c r="D36" i="10"/>
  <c r="F37" i="12"/>
  <c r="E37" i="12"/>
  <c r="E37" i="10"/>
  <c r="A38" i="10"/>
  <c r="B43" i="15"/>
  <c r="C43" i="15"/>
  <c r="D43" i="15"/>
  <c r="D37" i="12"/>
  <c r="A38" i="12"/>
  <c r="E43" i="15"/>
  <c r="C36" i="10"/>
  <c r="D37" i="10"/>
  <c r="F38" i="12"/>
  <c r="E38" i="12"/>
  <c r="C44" i="15"/>
  <c r="D44" i="15"/>
  <c r="E44" i="15"/>
  <c r="B44" i="15"/>
  <c r="E38" i="10"/>
  <c r="A39" i="10"/>
  <c r="D38" i="12"/>
  <c r="A39" i="12"/>
  <c r="D38" i="10"/>
  <c r="C37" i="10"/>
  <c r="F39" i="12"/>
  <c r="E39" i="12"/>
  <c r="C45" i="15"/>
  <c r="D45" i="15"/>
  <c r="E45" i="15"/>
  <c r="D39" i="12"/>
  <c r="A40" i="12"/>
  <c r="A40" i="10"/>
  <c r="E39" i="10"/>
  <c r="B45" i="15"/>
  <c r="D39" i="10"/>
  <c r="C38" i="10"/>
  <c r="E40" i="12"/>
  <c r="F40" i="12"/>
  <c r="E40" i="10"/>
  <c r="A41" i="10"/>
  <c r="B46" i="15"/>
  <c r="A41" i="12"/>
  <c r="D40" i="12"/>
  <c r="C46" i="15"/>
  <c r="E46" i="15"/>
  <c r="D46" i="15"/>
  <c r="C39" i="10"/>
  <c r="D40" i="10"/>
  <c r="F41" i="12"/>
  <c r="E41" i="12"/>
  <c r="D47" i="15"/>
  <c r="E47" i="15"/>
  <c r="D41" i="12"/>
  <c r="A42" i="12"/>
  <c r="B47" i="15"/>
  <c r="E41" i="10"/>
  <c r="A42" i="10"/>
  <c r="C47" i="15"/>
  <c r="C40" i="10"/>
  <c r="D41" i="10"/>
  <c r="F42" i="12"/>
  <c r="E42" i="12"/>
  <c r="D48" i="15"/>
  <c r="C48" i="15"/>
  <c r="E48" i="15"/>
  <c r="E42" i="10"/>
  <c r="A43" i="10"/>
  <c r="B48" i="15"/>
  <c r="A43" i="12"/>
  <c r="D42" i="12"/>
  <c r="C41" i="10"/>
  <c r="D42" i="10"/>
  <c r="E43" i="12"/>
  <c r="F43" i="12"/>
  <c r="C49" i="15"/>
  <c r="B49" i="15"/>
  <c r="E43" i="10"/>
  <c r="A44" i="10"/>
  <c r="E49" i="15"/>
  <c r="D43" i="12"/>
  <c r="A44" i="12"/>
  <c r="D49" i="15"/>
  <c r="C42" i="10"/>
  <c r="D43" i="10"/>
  <c r="F44" i="12"/>
  <c r="E44" i="12"/>
  <c r="D50" i="15"/>
  <c r="E50" i="15"/>
  <c r="A45" i="10"/>
  <c r="E44" i="10"/>
  <c r="D44" i="12"/>
  <c r="A45" i="12"/>
  <c r="B50" i="15"/>
  <c r="C50" i="15"/>
  <c r="C43" i="10"/>
  <c r="D44" i="10"/>
  <c r="F45" i="12"/>
  <c r="E45" i="12"/>
  <c r="D45" i="12"/>
  <c r="D6" i="12"/>
  <c r="F6" i="12"/>
  <c r="E6" i="12"/>
  <c r="E45" i="10"/>
  <c r="F6" i="10"/>
  <c r="G6" i="10"/>
  <c r="E12" i="15"/>
  <c r="C44" i="10"/>
  <c r="D12" i="15"/>
  <c r="G6" i="12"/>
  <c r="D45" i="10"/>
  <c r="C12" i="15"/>
  <c r="C45" i="10"/>
  <c r="B12" i="15"/>
  <c r="F12" i="15"/>
  <c r="B10" i="6" l="1"/>
  <c r="B11" i="6" s="1"/>
</calcChain>
</file>

<file path=xl/sharedStrings.xml><?xml version="1.0" encoding="utf-8"?>
<sst xmlns="http://schemas.openxmlformats.org/spreadsheetml/2006/main" count="143" uniqueCount="60">
  <si>
    <t>Matriz de probabilidades de transición</t>
  </si>
  <si>
    <t>Vector inicial</t>
  </si>
  <si>
    <t>Superviv total</t>
  </si>
  <si>
    <t>Utilidad</t>
  </si>
  <si>
    <t>Descuento</t>
  </si>
  <si>
    <t>ciclo</t>
  </si>
  <si>
    <t>Alternativa 1</t>
  </si>
  <si>
    <t>suma</t>
  </si>
  <si>
    <t>Alternativa 2</t>
  </si>
  <si>
    <t>Coste</t>
  </si>
  <si>
    <t>Estado</t>
  </si>
  <si>
    <t>Transición</t>
  </si>
  <si>
    <t>Alternativa Nuevo Tto</t>
  </si>
  <si>
    <t>Alternativa1</t>
  </si>
  <si>
    <t>Alternativa2</t>
  </si>
  <si>
    <t>Probabilidades</t>
  </si>
  <si>
    <t>Utilidades</t>
  </si>
  <si>
    <t>Costes Transicion</t>
  </si>
  <si>
    <t>Ctto1</t>
  </si>
  <si>
    <t>Ctto2</t>
  </si>
  <si>
    <t>Parámetros comunes</t>
  </si>
  <si>
    <t>Costes estado</t>
  </si>
  <si>
    <t>Supervivencia Ciclo</t>
  </si>
  <si>
    <t>p_AA1</t>
  </si>
  <si>
    <t>p_AB1</t>
  </si>
  <si>
    <t>p_AC1</t>
  </si>
  <si>
    <t>p_AD1</t>
  </si>
  <si>
    <t>p_BB1</t>
  </si>
  <si>
    <t>p_BC1</t>
  </si>
  <si>
    <t>p_BD1</t>
  </si>
  <si>
    <t>p_CC1</t>
  </si>
  <si>
    <t>p_AA2</t>
  </si>
  <si>
    <t>p_AB2</t>
  </si>
  <si>
    <t>p_AC2</t>
  </si>
  <si>
    <t>p_AD2</t>
  </si>
  <si>
    <t>p_BB2</t>
  </si>
  <si>
    <t>p_BC2</t>
  </si>
  <si>
    <t>p_BD2</t>
  </si>
  <si>
    <t>p_CC2</t>
  </si>
  <si>
    <t>p_CD1</t>
  </si>
  <si>
    <t>p_CD2</t>
  </si>
  <si>
    <t>c_A</t>
  </si>
  <si>
    <t>c_B</t>
  </si>
  <si>
    <t>c_C</t>
  </si>
  <si>
    <t>u_A</t>
  </si>
  <si>
    <t>u_B</t>
  </si>
  <si>
    <t>u_C</t>
  </si>
  <si>
    <t>Temprano</t>
  </si>
  <si>
    <t>Moderado</t>
  </si>
  <si>
    <t>Avanzado</t>
  </si>
  <si>
    <t>Ceguera</t>
  </si>
  <si>
    <t>u_D</t>
  </si>
  <si>
    <t>c_D</t>
  </si>
  <si>
    <t>Ruta sistencial software</t>
  </si>
  <si>
    <t>Ruta asistencial inicial</t>
  </si>
  <si>
    <t>c_E</t>
  </si>
  <si>
    <t xml:space="preserve">Efectividad </t>
  </si>
  <si>
    <t>Costes</t>
  </si>
  <si>
    <t>RCEI</t>
  </si>
  <si>
    <t>RCUI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</si>
</sst>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#,##0.0"/>
    <numFmt numFmtId="166" formatCode="0.00000"/>
    <numFmt numFmtId="167" formatCode="#,##0.00\ &quot;€&quot;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3" fontId="0" fillId="0" borderId="0" xfId="0" applyNumberFormat="1"/>
    <xf numFmtId="164" fontId="0" fillId="0" borderId="0" xfId="0" applyNumberFormat="1"/>
    <xf numFmtId="0" fontId="1" fillId="0" borderId="0" xfId="0" applyFont="1"/>
    <xf numFmtId="164" fontId="1" fillId="0" borderId="0" xfId="0" applyNumberFormat="1" applyFont="1"/>
    <xf numFmtId="0" fontId="1" fillId="0" borderId="0" xfId="0" applyFont="1" applyAlignment="1">
      <alignment horizontal="center"/>
    </xf>
    <xf numFmtId="165" fontId="0" fillId="0" borderId="0" xfId="0" applyNumberFormat="1"/>
    <xf numFmtId="3" fontId="1" fillId="2" borderId="0" xfId="0" applyNumberFormat="1" applyFont="1" applyFill="1"/>
    <xf numFmtId="3" fontId="0" fillId="2" borderId="0" xfId="0" applyNumberFormat="1" applyFill="1"/>
    <xf numFmtId="3" fontId="1" fillId="2" borderId="0" xfId="0" applyNumberFormat="1" applyFont="1" applyFill="1" applyAlignment="1">
      <alignment horizontal="center"/>
    </xf>
    <xf numFmtId="3" fontId="1" fillId="0" borderId="0" xfId="0" applyNumberFormat="1" applyFont="1"/>
    <xf numFmtId="3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0" fontId="2" fillId="0" borderId="0" xfId="0" applyFont="1"/>
    <xf numFmtId="4" fontId="0" fillId="0" borderId="0" xfId="0" applyNumberFormat="1"/>
    <xf numFmtId="165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3" borderId="0" xfId="0" applyFont="1" applyFill="1"/>
    <xf numFmtId="0" fontId="1" fillId="4" borderId="0" xfId="0" applyFont="1" applyFill="1"/>
    <xf numFmtId="3" fontId="1" fillId="3" borderId="0" xfId="0" applyNumberFormat="1" applyFont="1" applyFill="1"/>
    <xf numFmtId="3" fontId="0" fillId="3" borderId="0" xfId="0" applyNumberFormat="1" applyFill="1"/>
    <xf numFmtId="3" fontId="1" fillId="3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vertical="center"/>
    </xf>
    <xf numFmtId="0" fontId="1" fillId="2" borderId="1" xfId="0" applyFont="1" applyFill="1" applyBorder="1"/>
    <xf numFmtId="167" fontId="1" fillId="5" borderId="2" xfId="0" applyNumberFormat="1" applyFont="1" applyFill="1" applyBorder="1"/>
    <xf numFmtId="0" fontId="2" fillId="6" borderId="3" xfId="0" applyFont="1" applyFill="1" applyBorder="1"/>
    <xf numFmtId="0" fontId="2" fillId="6" borderId="3" xfId="0" applyFont="1" applyFill="1" applyBorder="1" applyAlignment="1">
      <alignment horizontal="left"/>
    </xf>
    <xf numFmtId="0" fontId="1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165" fontId="1" fillId="3" borderId="0" xfId="0" applyNumberFormat="1" applyFont="1" applyFill="1" applyAlignment="1">
      <alignment horizontal="center"/>
    </xf>
    <xf numFmtId="165" fontId="1" fillId="4" borderId="0" xfId="0" applyNumberFormat="1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167" fontId="0" fillId="6" borderId="4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E32"/>
  <sheetViews>
    <sheetView workbookViewId="0">
      <selection activeCell="A19" sqref="A19"/>
    </sheetView>
  </sheetViews>
  <sheetFormatPr baseColWidth="10" defaultRowHeight="13.2" x14ac:dyDescent="0.25"/>
  <sheetData>
    <row r="1" spans="1:5" x14ac:dyDescent="0.25">
      <c r="A1" s="18" t="s">
        <v>14</v>
      </c>
      <c r="B1" s="13" t="s">
        <v>53</v>
      </c>
      <c r="D1" s="17" t="s">
        <v>13</v>
      </c>
      <c r="E1" s="13" t="s">
        <v>54</v>
      </c>
    </row>
    <row r="2" spans="1:5" x14ac:dyDescent="0.25">
      <c r="A2" s="3"/>
      <c r="D2" s="3"/>
    </row>
    <row r="3" spans="1:5" x14ac:dyDescent="0.25">
      <c r="A3" s="3" t="s">
        <v>15</v>
      </c>
      <c r="D3" s="3" t="s">
        <v>15</v>
      </c>
    </row>
    <row r="4" spans="1:5" x14ac:dyDescent="0.25">
      <c r="A4" s="13" t="s">
        <v>23</v>
      </c>
      <c r="B4">
        <v>0.4</v>
      </c>
      <c r="D4" s="13" t="s">
        <v>31</v>
      </c>
      <c r="E4">
        <v>0.45</v>
      </c>
    </row>
    <row r="5" spans="1:5" x14ac:dyDescent="0.25">
      <c r="A5" s="13" t="s">
        <v>24</v>
      </c>
      <c r="B5">
        <v>0.25</v>
      </c>
      <c r="D5" s="13" t="s">
        <v>32</v>
      </c>
      <c r="E5">
        <v>0.3</v>
      </c>
    </row>
    <row r="6" spans="1:5" x14ac:dyDescent="0.25">
      <c r="A6" s="13" t="s">
        <v>25</v>
      </c>
      <c r="B6">
        <v>0.15</v>
      </c>
      <c r="D6" s="13" t="s">
        <v>33</v>
      </c>
      <c r="E6">
        <v>0.2</v>
      </c>
    </row>
    <row r="7" spans="1:5" x14ac:dyDescent="0.25">
      <c r="A7" s="13" t="s">
        <v>26</v>
      </c>
      <c r="B7">
        <v>0.02</v>
      </c>
      <c r="D7" s="13" t="s">
        <v>34</v>
      </c>
      <c r="E7">
        <v>2.5000000000000001E-2</v>
      </c>
    </row>
    <row r="8" spans="1:5" x14ac:dyDescent="0.25">
      <c r="A8" s="13" t="s">
        <v>27</v>
      </c>
      <c r="B8">
        <v>0.5</v>
      </c>
      <c r="D8" s="13" t="s">
        <v>35</v>
      </c>
      <c r="E8">
        <v>0.55000000000000004</v>
      </c>
    </row>
    <row r="9" spans="1:5" x14ac:dyDescent="0.25">
      <c r="A9" s="13" t="s">
        <v>28</v>
      </c>
      <c r="B9">
        <v>0.11</v>
      </c>
      <c r="D9" s="13" t="s">
        <v>36</v>
      </c>
      <c r="E9">
        <v>0.16</v>
      </c>
    </row>
    <row r="10" spans="1:5" x14ac:dyDescent="0.25">
      <c r="A10" s="13" t="s">
        <v>29</v>
      </c>
      <c r="B10">
        <v>0.05</v>
      </c>
      <c r="D10" s="13" t="s">
        <v>37</v>
      </c>
      <c r="E10">
        <v>0.01</v>
      </c>
    </row>
    <row r="11" spans="1:5" x14ac:dyDescent="0.25">
      <c r="A11" s="13" t="s">
        <v>30</v>
      </c>
      <c r="B11">
        <v>0.3</v>
      </c>
      <c r="D11" s="13" t="s">
        <v>38</v>
      </c>
      <c r="E11">
        <v>0.35</v>
      </c>
    </row>
    <row r="12" spans="1:5" x14ac:dyDescent="0.25">
      <c r="A12" s="13" t="s">
        <v>39</v>
      </c>
      <c r="B12">
        <v>0.1</v>
      </c>
      <c r="D12" s="13" t="s">
        <v>40</v>
      </c>
      <c r="E12">
        <v>0.15</v>
      </c>
    </row>
    <row r="15" spans="1:5" x14ac:dyDescent="0.25">
      <c r="A15" s="3" t="s">
        <v>17</v>
      </c>
      <c r="D15" s="3" t="s">
        <v>17</v>
      </c>
    </row>
    <row r="16" spans="1:5" x14ac:dyDescent="0.25">
      <c r="A16" t="s">
        <v>18</v>
      </c>
      <c r="D16" s="13" t="s">
        <v>19</v>
      </c>
    </row>
    <row r="17" spans="1:4" x14ac:dyDescent="0.25">
      <c r="A17">
        <v>0</v>
      </c>
      <c r="D17">
        <v>0</v>
      </c>
    </row>
    <row r="19" spans="1:4" x14ac:dyDescent="0.25">
      <c r="A19" s="3" t="s">
        <v>20</v>
      </c>
    </row>
    <row r="20" spans="1:4" x14ac:dyDescent="0.25">
      <c r="A20" t="s">
        <v>4</v>
      </c>
      <c r="B20">
        <v>0.05</v>
      </c>
    </row>
    <row r="22" spans="1:4" x14ac:dyDescent="0.25">
      <c r="A22" s="3" t="s">
        <v>21</v>
      </c>
    </row>
    <row r="23" spans="1:4" x14ac:dyDescent="0.25">
      <c r="A23" s="13" t="s">
        <v>41</v>
      </c>
      <c r="B23">
        <v>10</v>
      </c>
    </row>
    <row r="24" spans="1:4" x14ac:dyDescent="0.25">
      <c r="A24" s="13" t="s">
        <v>42</v>
      </c>
      <c r="B24" s="1">
        <v>594</v>
      </c>
      <c r="C24" s="1"/>
    </row>
    <row r="25" spans="1:4" x14ac:dyDescent="0.25">
      <c r="A25" s="13" t="s">
        <v>43</v>
      </c>
      <c r="B25" s="1">
        <v>16094</v>
      </c>
      <c r="C25" s="1"/>
    </row>
    <row r="26" spans="1:4" x14ac:dyDescent="0.25">
      <c r="A26" s="13" t="s">
        <v>52</v>
      </c>
      <c r="B26" s="1">
        <v>16071</v>
      </c>
      <c r="C26" s="1"/>
    </row>
    <row r="27" spans="1:4" x14ac:dyDescent="0.25">
      <c r="A27" s="13" t="s">
        <v>55</v>
      </c>
      <c r="B27" s="1">
        <v>16141</v>
      </c>
    </row>
    <row r="28" spans="1:4" x14ac:dyDescent="0.25">
      <c r="A28" s="3" t="s">
        <v>16</v>
      </c>
      <c r="D28" s="3"/>
    </row>
    <row r="29" spans="1:4" x14ac:dyDescent="0.25">
      <c r="A29" s="13" t="s">
        <v>44</v>
      </c>
      <c r="B29">
        <v>0.92</v>
      </c>
    </row>
    <row r="30" spans="1:4" x14ac:dyDescent="0.25">
      <c r="A30" s="13" t="s">
        <v>45</v>
      </c>
      <c r="B30">
        <v>0.89</v>
      </c>
    </row>
    <row r="31" spans="1:4" x14ac:dyDescent="0.25">
      <c r="A31" s="13" t="s">
        <v>46</v>
      </c>
      <c r="B31">
        <v>0.86</v>
      </c>
    </row>
    <row r="32" spans="1:4" x14ac:dyDescent="0.25">
      <c r="A32" s="13" t="s">
        <v>51</v>
      </c>
      <c r="B32">
        <v>0.26</v>
      </c>
    </row>
  </sheetData>
  <phoneticPr fontId="3" type="noConversion"/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2"/>
  <dimension ref="A1:F51"/>
  <sheetViews>
    <sheetView workbookViewId="0">
      <selection activeCell="C27" sqref="C27"/>
    </sheetView>
  </sheetViews>
  <sheetFormatPr baseColWidth="10" defaultRowHeight="13.2" x14ac:dyDescent="0.25"/>
  <cols>
    <col min="1" max="1" width="20" customWidth="1"/>
  </cols>
  <sheetData>
    <row r="1" spans="1:6" x14ac:dyDescent="0.25">
      <c r="A1" s="28" t="s">
        <v>12</v>
      </c>
      <c r="B1" s="28"/>
      <c r="C1" s="28"/>
      <c r="D1" s="28"/>
      <c r="E1" s="28"/>
      <c r="F1" s="28"/>
    </row>
    <row r="2" spans="1:6" x14ac:dyDescent="0.25">
      <c r="A2" s="3" t="s">
        <v>0</v>
      </c>
      <c r="B2" s="3"/>
      <c r="C2" s="3"/>
    </row>
    <row r="3" spans="1:6" x14ac:dyDescent="0.25">
      <c r="B3" s="15" t="s">
        <v>47</v>
      </c>
      <c r="C3" s="15" t="s">
        <v>48</v>
      </c>
      <c r="D3" s="15" t="s">
        <v>49</v>
      </c>
      <c r="E3" s="16" t="s">
        <v>50</v>
      </c>
      <c r="F3" s="15"/>
    </row>
    <row r="4" spans="1:6" x14ac:dyDescent="0.25">
      <c r="A4" s="22" t="s">
        <v>47</v>
      </c>
      <c r="B4">
        <v>0.4</v>
      </c>
      <c r="C4">
        <v>0.25</v>
      </c>
      <c r="D4">
        <v>0.15</v>
      </c>
      <c r="E4">
        <v>0.02</v>
      </c>
    </row>
    <row r="5" spans="1:6" x14ac:dyDescent="0.25">
      <c r="A5" s="22" t="s">
        <v>48</v>
      </c>
      <c r="B5">
        <v>0</v>
      </c>
      <c r="C5">
        <v>0.5</v>
      </c>
      <c r="D5">
        <v>0.11</v>
      </c>
      <c r="E5">
        <v>0.05</v>
      </c>
    </row>
    <row r="6" spans="1:6" x14ac:dyDescent="0.25">
      <c r="A6" s="22" t="s">
        <v>49</v>
      </c>
      <c r="B6">
        <v>0</v>
      </c>
      <c r="C6">
        <v>0</v>
      </c>
      <c r="D6">
        <v>0.3</v>
      </c>
      <c r="E6">
        <v>0.1</v>
      </c>
    </row>
    <row r="7" spans="1:6" x14ac:dyDescent="0.25">
      <c r="A7" s="22" t="s">
        <v>50</v>
      </c>
      <c r="B7">
        <v>0</v>
      </c>
      <c r="C7">
        <v>0</v>
      </c>
      <c r="D7">
        <v>0</v>
      </c>
      <c r="E7">
        <v>1</v>
      </c>
    </row>
    <row r="8" spans="1:6" x14ac:dyDescent="0.25">
      <c r="A8" s="22"/>
    </row>
    <row r="9" spans="1:6" x14ac:dyDescent="0.25">
      <c r="A9" s="22"/>
    </row>
    <row r="10" spans="1:6" x14ac:dyDescent="0.25">
      <c r="B10" s="15" t="s">
        <v>47</v>
      </c>
      <c r="C10" s="15" t="s">
        <v>48</v>
      </c>
      <c r="D10" s="15" t="s">
        <v>49</v>
      </c>
      <c r="E10" s="16" t="s">
        <v>50</v>
      </c>
    </row>
    <row r="11" spans="1:6" x14ac:dyDescent="0.25">
      <c r="A11" t="s">
        <v>1</v>
      </c>
      <c r="B11">
        <v>1000</v>
      </c>
      <c r="C11">
        <v>0</v>
      </c>
      <c r="D11">
        <v>0</v>
      </c>
      <c r="E11">
        <v>0</v>
      </c>
    </row>
    <row r="12" spans="1:6" x14ac:dyDescent="0.25">
      <c r="A12" t="s">
        <v>2</v>
      </c>
      <c r="B12" s="1">
        <f>SUM(B15:B50)</f>
        <v>1666.6666666666588</v>
      </c>
      <c r="C12" s="1">
        <f>SUM(C15:C50)</f>
        <v>833.33333326059335</v>
      </c>
      <c r="D12" s="1">
        <f>SUM(D15:D50)</f>
        <v>488.09523805523025</v>
      </c>
      <c r="E12" s="1">
        <f>SUM(E15:E50)</f>
        <v>4071.5419501286551</v>
      </c>
      <c r="F12" s="4">
        <f t="array" ref="F12">SUM(B12:E12/B11)</f>
        <v>7.0596371881111368</v>
      </c>
    </row>
    <row r="14" spans="1:6" ht="26.4" x14ac:dyDescent="0.25">
      <c r="A14" t="s">
        <v>5</v>
      </c>
      <c r="B14" s="15" t="s">
        <v>47</v>
      </c>
      <c r="C14" s="15" t="s">
        <v>48</v>
      </c>
      <c r="D14" s="15" t="s">
        <v>49</v>
      </c>
      <c r="E14" s="16" t="s">
        <v>50</v>
      </c>
      <c r="F14" s="22" t="s">
        <v>22</v>
      </c>
    </row>
    <row r="15" spans="1:6" x14ac:dyDescent="0.25">
      <c r="A15">
        <v>0</v>
      </c>
      <c r="B15" s="1">
        <v>1000</v>
      </c>
      <c r="C15" s="1">
        <v>0</v>
      </c>
      <c r="D15" s="1">
        <v>0</v>
      </c>
      <c r="E15" s="1">
        <v>0</v>
      </c>
    </row>
    <row r="16" spans="1:6" x14ac:dyDescent="0.25">
      <c r="A16">
        <v>1</v>
      </c>
      <c r="B16" s="1">
        <f t="shared" ref="B16:B50" si="0">B15*p_AA1</f>
        <v>400</v>
      </c>
      <c r="C16" s="1">
        <f>B15*p_AB1+Alternativa2!C15*p_BB1</f>
        <v>250</v>
      </c>
      <c r="D16" s="1">
        <f>B15*p_AC1+Alternativa2!C15*p_BC1+Alternativa2!D15*p_CC1</f>
        <v>150</v>
      </c>
      <c r="E16" s="1">
        <f>B15*p_AD1+Alternativa2!C15*p_BD1+Alternativa2!D15*p_CD1+Alternativa2!E15*1</f>
        <v>20</v>
      </c>
      <c r="F16" s="1">
        <f>SUM(B16:E16)</f>
        <v>820</v>
      </c>
    </row>
    <row r="17" spans="1:6" x14ac:dyDescent="0.25">
      <c r="A17">
        <v>2</v>
      </c>
      <c r="B17" s="1">
        <f t="shared" si="0"/>
        <v>160</v>
      </c>
      <c r="C17" s="1">
        <f>B16*p_AB1+Alternativa2!C16*p_BB1</f>
        <v>225</v>
      </c>
      <c r="D17" s="1">
        <f>B16*p_AC1+Alternativa2!C16*p_BC1+Alternativa2!D16*p_CC1</f>
        <v>132.5</v>
      </c>
      <c r="E17" s="1">
        <f>B16*p_AD1+Alternativa2!C16*p_BD1+Alternativa2!D16*p_CD1+Alternativa2!E16*1</f>
        <v>55.5</v>
      </c>
      <c r="F17" s="1">
        <f t="shared" ref="F17:F50" si="1">SUM(B17:E17)</f>
        <v>573</v>
      </c>
    </row>
    <row r="18" spans="1:6" x14ac:dyDescent="0.25">
      <c r="A18">
        <v>3</v>
      </c>
      <c r="B18" s="1">
        <f t="shared" si="0"/>
        <v>64</v>
      </c>
      <c r="C18" s="1">
        <f>B17*p_AB1+Alternativa2!C17*p_BB1</f>
        <v>152.5</v>
      </c>
      <c r="D18" s="1">
        <f>B17*p_AC1+Alternativa2!C17*p_BC1+Alternativa2!D17*p_CC1</f>
        <v>88.5</v>
      </c>
      <c r="E18" s="1">
        <f>B17*p_AD1+Alternativa2!C17*p_BD1+Alternativa2!D17*p_CD1+Alternativa2!E17*1</f>
        <v>83.2</v>
      </c>
      <c r="F18" s="1">
        <f t="shared" si="1"/>
        <v>388.2</v>
      </c>
    </row>
    <row r="19" spans="1:6" x14ac:dyDescent="0.25">
      <c r="A19">
        <v>4</v>
      </c>
      <c r="B19" s="1">
        <f t="shared" si="0"/>
        <v>25.6</v>
      </c>
      <c r="C19" s="1">
        <f>B18*p_AB1+Alternativa2!C18*p_BB1</f>
        <v>92.25</v>
      </c>
      <c r="D19" s="1">
        <f>B18*p_AC1+Alternativa2!C18*p_BC1+Alternativa2!D18*p_CC1</f>
        <v>52.924999999999997</v>
      </c>
      <c r="E19" s="1">
        <f>B18*p_AD1+Alternativa2!C18*p_BD1+Alternativa2!D18*p_CD1+Alternativa2!E18*1</f>
        <v>100.955</v>
      </c>
      <c r="F19" s="1">
        <f t="shared" si="1"/>
        <v>271.72999999999996</v>
      </c>
    </row>
    <row r="20" spans="1:6" x14ac:dyDescent="0.25">
      <c r="A20">
        <v>5</v>
      </c>
      <c r="B20" s="1">
        <f t="shared" si="0"/>
        <v>10.240000000000002</v>
      </c>
      <c r="C20" s="1">
        <f>B19*p_AB1+Alternativa2!C19*p_BB1</f>
        <v>52.524999999999999</v>
      </c>
      <c r="D20" s="1">
        <f>B19*p_AC1+Alternativa2!C19*p_BC1+Alternativa2!D19*p_CC1</f>
        <v>29.864999999999998</v>
      </c>
      <c r="E20" s="1">
        <f>B19*p_AD1+Alternativa2!C19*p_BD1+Alternativa2!D19*p_CD1+Alternativa2!E19*1</f>
        <v>111.372</v>
      </c>
      <c r="F20" s="1">
        <f t="shared" si="1"/>
        <v>204.00200000000001</v>
      </c>
    </row>
    <row r="21" spans="1:6" x14ac:dyDescent="0.25">
      <c r="A21">
        <v>6</v>
      </c>
      <c r="B21" s="1">
        <f t="shared" si="0"/>
        <v>4.096000000000001</v>
      </c>
      <c r="C21" s="1">
        <f>B20*p_AB1+Alternativa2!C20*p_BB1</f>
        <v>28.822499999999998</v>
      </c>
      <c r="D21" s="1">
        <f>B20*p_AC1+Alternativa2!C20*p_BC1+Alternativa2!D20*p_CC1</f>
        <v>16.273249999999997</v>
      </c>
      <c r="E21" s="1">
        <f>B20*p_AD1+Alternativa2!C20*p_BD1+Alternativa2!D20*p_CD1+Alternativa2!E20*1</f>
        <v>117.18955</v>
      </c>
      <c r="F21" s="1">
        <f t="shared" si="1"/>
        <v>166.38130000000001</v>
      </c>
    </row>
    <row r="22" spans="1:6" x14ac:dyDescent="0.25">
      <c r="A22">
        <v>7</v>
      </c>
      <c r="B22" s="1">
        <f t="shared" si="0"/>
        <v>1.6384000000000005</v>
      </c>
      <c r="C22" s="1">
        <f>B21*p_AB1+Alternativa2!C21*p_BB1</f>
        <v>15.43525</v>
      </c>
      <c r="D22" s="1">
        <f>B21*p_AC1+Alternativa2!C21*p_BC1+Alternativa2!D21*p_CC1</f>
        <v>8.6668499999999984</v>
      </c>
      <c r="E22" s="1">
        <f>B21*p_AD1+Alternativa2!C21*p_BD1+Alternativa2!D21*p_CD1+Alternativa2!E21*1</f>
        <v>120.33991999999999</v>
      </c>
      <c r="F22" s="1">
        <f t="shared" si="1"/>
        <v>146.08042</v>
      </c>
    </row>
    <row r="23" spans="1:6" x14ac:dyDescent="0.25">
      <c r="A23">
        <v>8</v>
      </c>
      <c r="B23" s="1">
        <f t="shared" si="0"/>
        <v>0.65536000000000028</v>
      </c>
      <c r="C23" s="1">
        <f>B22*p_AB1+Alternativa2!C22*p_BB1</f>
        <v>8.1272249999999993</v>
      </c>
      <c r="D23" s="1">
        <f>B22*p_AC1+Alternativa2!C22*p_BC1+Alternativa2!D22*p_CC1</f>
        <v>4.5436924999999988</v>
      </c>
      <c r="E23" s="1">
        <f>B22*p_AD1+Alternativa2!C22*p_BD1+Alternativa2!D22*p_CD1+Alternativa2!E22*1</f>
        <v>122.01113549999999</v>
      </c>
      <c r="F23" s="1">
        <f t="shared" si="1"/>
        <v>135.337413</v>
      </c>
    </row>
    <row r="24" spans="1:6" x14ac:dyDescent="0.25">
      <c r="A24">
        <v>9</v>
      </c>
      <c r="B24" s="1">
        <f t="shared" si="0"/>
        <v>0.2621440000000001</v>
      </c>
      <c r="C24" s="1">
        <f>B23*p_AB1+Alternativa2!C23*p_BB1</f>
        <v>4.2274525000000001</v>
      </c>
      <c r="D24" s="1">
        <f>B23*p_AC1+Alternativa2!C23*p_BC1+Alternativa2!D23*p_CC1</f>
        <v>2.3554064999999995</v>
      </c>
      <c r="E24" s="1">
        <f>B23*p_AD1+Alternativa2!C23*p_BD1+Alternativa2!D23*p_CD1+Alternativa2!E23*1</f>
        <v>122.88497319999999</v>
      </c>
      <c r="F24" s="1">
        <f t="shared" si="1"/>
        <v>129.72997619999998</v>
      </c>
    </row>
    <row r="25" spans="1:6" x14ac:dyDescent="0.25">
      <c r="A25">
        <v>10</v>
      </c>
      <c r="B25" s="1">
        <f t="shared" si="0"/>
        <v>0.10485760000000005</v>
      </c>
      <c r="C25" s="1">
        <f>B24*p_AB1+Alternativa2!C24*p_BB1</f>
        <v>2.1792622499999998</v>
      </c>
      <c r="D25" s="1">
        <f>B24*p_AC1+Alternativa2!C24*p_BC1+Alternativa2!D24*p_CC1</f>
        <v>1.2109633249999998</v>
      </c>
      <c r="E25" s="1">
        <f>B24*p_AD1+Alternativa2!C24*p_BD1+Alternativa2!D24*p_CD1+Alternativa2!E24*1</f>
        <v>123.33712935499999</v>
      </c>
      <c r="F25" s="1">
        <f t="shared" si="1"/>
        <v>126.83221252999999</v>
      </c>
    </row>
    <row r="26" spans="1:6" x14ac:dyDescent="0.25">
      <c r="A26">
        <v>11</v>
      </c>
      <c r="B26" s="1">
        <f t="shared" si="0"/>
        <v>4.1943040000000022E-2</v>
      </c>
      <c r="C26" s="1">
        <f>B25*p_AB1+Alternativa2!C25*p_BB1</f>
        <v>1.1158455249999999</v>
      </c>
      <c r="D26" s="1">
        <f>B25*p_AC1+Alternativa2!C25*p_BC1+Alternativa2!D25*p_CC1</f>
        <v>0.61873648499999989</v>
      </c>
      <c r="E26" s="1">
        <f>B25*p_AD1+Alternativa2!C25*p_BD1+Alternativa2!D25*p_CD1+Alternativa2!E25*1</f>
        <v>123.56928595199999</v>
      </c>
      <c r="F26" s="1">
        <f t="shared" si="1"/>
        <v>125.34581100199999</v>
      </c>
    </row>
    <row r="27" spans="1:6" x14ac:dyDescent="0.25">
      <c r="A27">
        <v>12</v>
      </c>
      <c r="B27" s="1">
        <f t="shared" si="0"/>
        <v>1.6777216000000008E-2</v>
      </c>
      <c r="C27" s="1">
        <f>B26*p_AB1+Alternativa2!C26*p_BB1</f>
        <v>0.56840852249999996</v>
      </c>
      <c r="D27" s="1">
        <f>B26*p_AC1+Alternativa2!C26*p_BC1+Alternativa2!D26*p_CC1</f>
        <v>0.31465540924999996</v>
      </c>
      <c r="E27" s="1">
        <f>B26*p_AD1+Alternativa2!C26*p_BD1+Alternativa2!D26*p_CD1+Alternativa2!E26*1</f>
        <v>123.68779073754999</v>
      </c>
      <c r="F27" s="1">
        <f t="shared" si="1"/>
        <v>124.58763188529998</v>
      </c>
    </row>
    <row r="28" spans="1:6" x14ac:dyDescent="0.25">
      <c r="A28">
        <v>13</v>
      </c>
      <c r="B28" s="1">
        <f t="shared" si="0"/>
        <v>6.7108864000000037E-3</v>
      </c>
      <c r="C28" s="1">
        <f>B27*p_AB1+Alternativa2!C27*p_BB1</f>
        <v>0.28839856524999996</v>
      </c>
      <c r="D28" s="1">
        <f>B27*p_AC1+Alternativa2!C27*p_BC1+Alternativa2!D27*p_CC1</f>
        <v>0.15943814264999998</v>
      </c>
      <c r="E28" s="1">
        <f>B27*p_AD1+Alternativa2!C27*p_BD1+Alternativa2!D27*p_CD1+Alternativa2!E27*1</f>
        <v>123.74801224891999</v>
      </c>
      <c r="F28" s="1">
        <f t="shared" si="1"/>
        <v>124.20255984321999</v>
      </c>
    </row>
    <row r="29" spans="1:6" x14ac:dyDescent="0.25">
      <c r="A29">
        <v>14</v>
      </c>
      <c r="B29" s="1">
        <f t="shared" si="0"/>
        <v>2.6843545600000016E-3</v>
      </c>
      <c r="C29" s="1">
        <f>B28*p_AB1+Alternativa2!C28*p_BB1</f>
        <v>0.14587700422499997</v>
      </c>
      <c r="D29" s="1">
        <f>B28*p_AC1+Alternativa2!C28*p_BC1+Alternativa2!D28*p_CC1</f>
        <v>8.0561917932499991E-2</v>
      </c>
      <c r="E29" s="1">
        <f>B28*p_AD1+Alternativa2!C28*p_BD1+Alternativa2!D28*p_CD1+Alternativa2!E28*1</f>
        <v>123.77851020917549</v>
      </c>
      <c r="F29" s="1">
        <f t="shared" si="1"/>
        <v>124.007633485893</v>
      </c>
    </row>
    <row r="30" spans="1:6" x14ac:dyDescent="0.25">
      <c r="A30">
        <v>15</v>
      </c>
      <c r="B30" s="1">
        <f t="shared" si="0"/>
        <v>1.0737418240000006E-3</v>
      </c>
      <c r="C30" s="1">
        <f>B29*p_AB1+Alternativa2!C29*p_BB1</f>
        <v>7.3609590752499982E-2</v>
      </c>
      <c r="D30" s="1">
        <f>B29*p_AC1+Alternativa2!C29*p_BC1+Alternativa2!D29*p_CC1</f>
        <v>4.0617699028499987E-2</v>
      </c>
      <c r="E30" s="1">
        <f>B29*p_AD1+Alternativa2!C29*p_BD1+Alternativa2!D29*p_CD1+Alternativa2!E29*1</f>
        <v>123.79391393827119</v>
      </c>
      <c r="F30" s="1">
        <f t="shared" si="1"/>
        <v>123.90921496987619</v>
      </c>
    </row>
    <row r="31" spans="1:6" x14ac:dyDescent="0.25">
      <c r="A31">
        <v>16</v>
      </c>
      <c r="B31" s="1">
        <f t="shared" si="0"/>
        <v>4.2949672960000028E-4</v>
      </c>
      <c r="C31" s="1">
        <f>B30*p_AB1+Alternativa2!C30*p_BB1</f>
        <v>3.707323083224999E-2</v>
      </c>
      <c r="D31" s="1">
        <f>B30*p_AC1+Alternativa2!C30*p_BC1+Alternativa2!D30*p_CC1</f>
        <v>2.0443425964924995E-2</v>
      </c>
      <c r="E31" s="1">
        <f>B30*p_AD1+Alternativa2!C30*p_BD1+Alternativa2!D30*p_CD1+Alternativa2!E30*1</f>
        <v>123.80167766254814</v>
      </c>
      <c r="F31" s="1">
        <f t="shared" si="1"/>
        <v>123.85962381607492</v>
      </c>
    </row>
    <row r="32" spans="1:6" x14ac:dyDescent="0.25">
      <c r="A32">
        <v>17</v>
      </c>
      <c r="B32" s="1">
        <f t="shared" si="0"/>
        <v>1.7179869184000014E-4</v>
      </c>
      <c r="C32" s="1">
        <f>B31*p_AB1+Alternativa2!C31*p_BB1</f>
        <v>1.8643989598524997E-2</v>
      </c>
      <c r="D32" s="1">
        <f>B31*p_AC1+Alternativa2!C31*p_BC1+Alternativa2!D31*p_CC1</f>
        <v>1.0275507690464997E-2</v>
      </c>
      <c r="E32" s="1">
        <f>B31*p_AD1+Alternativa2!C31*p_BD1+Alternativa2!D31*p_CD1+Alternativa2!E31*1</f>
        <v>123.80558425662085</v>
      </c>
      <c r="F32" s="1">
        <f t="shared" si="1"/>
        <v>123.83467555260168</v>
      </c>
    </row>
    <row r="33" spans="1:6" x14ac:dyDescent="0.25">
      <c r="A33">
        <v>18</v>
      </c>
      <c r="B33" s="1">
        <f t="shared" si="0"/>
        <v>6.871947673600006E-5</v>
      </c>
      <c r="C33" s="1">
        <f>B32*p_AB1+Alternativa2!C32*p_BB1</f>
        <v>9.364944472222499E-3</v>
      </c>
      <c r="D33" s="1">
        <f>B32*p_AC1+Alternativa2!C32*p_BC1+Alternativa2!D32*p_CC1</f>
        <v>5.1592609667532492E-3</v>
      </c>
      <c r="E33" s="1">
        <f>B32*p_AD1+Alternativa2!C32*p_BD1+Alternativa2!D32*p_CD1+Alternativa2!E32*1</f>
        <v>123.80754744284366</v>
      </c>
      <c r="F33" s="1">
        <f t="shared" si="1"/>
        <v>123.82214036775937</v>
      </c>
    </row>
    <row r="34" spans="1:6" x14ac:dyDescent="0.25">
      <c r="A34">
        <v>19</v>
      </c>
      <c r="B34" s="1">
        <f t="shared" si="0"/>
        <v>2.7487790694400027E-5</v>
      </c>
      <c r="C34" s="1">
        <f>B33*p_AB1+Alternativa2!C33*p_BB1</f>
        <v>4.6996521052952494E-3</v>
      </c>
      <c r="D34" s="1">
        <f>B33*p_AC1+Alternativa2!C33*p_BC1+Alternativa2!D33*p_CC1</f>
        <v>2.5882301034808497E-3</v>
      </c>
      <c r="E34" s="1">
        <f>B33*p_AD1+Alternativa2!C33*p_BD1+Alternativa2!D33*p_CD1+Alternativa2!E33*1</f>
        <v>123.80853299055347</v>
      </c>
      <c r="F34" s="1">
        <f t="shared" si="1"/>
        <v>123.81584836055295</v>
      </c>
    </row>
    <row r="35" spans="1:6" x14ac:dyDescent="0.25">
      <c r="A35">
        <v>20</v>
      </c>
      <c r="B35" s="1">
        <f t="shared" si="0"/>
        <v>1.0995116277760011E-5</v>
      </c>
      <c r="C35" s="1">
        <f>B34*p_AB1+Alternativa2!C34*p_BB1</f>
        <v>2.3566980003212248E-3</v>
      </c>
      <c r="D35" s="1">
        <f>B34*p_AC1+Alternativa2!C34*p_BC1+Alternativa2!D34*p_CC1</f>
        <v>1.2975539312308922E-3</v>
      </c>
      <c r="E35" s="1">
        <f>B34*p_AD1+Alternativa2!C34*p_BD1+Alternativa2!D34*p_CD1+Alternativa2!E34*1</f>
        <v>123.8090273459249</v>
      </c>
      <c r="F35" s="1">
        <f t="shared" si="1"/>
        <v>123.81269259297274</v>
      </c>
    </row>
    <row r="36" spans="1:6" x14ac:dyDescent="0.25">
      <c r="A36">
        <v>21</v>
      </c>
      <c r="B36" s="1">
        <f t="shared" si="0"/>
        <v>4.3980465111040045E-6</v>
      </c>
      <c r="C36" s="1">
        <f>B35*p_AB1+Alternativa2!C35*p_BB1</f>
        <v>1.1810977792300523E-3</v>
      </c>
      <c r="D36" s="1">
        <f>B35*p_AC1+Alternativa2!C35*p_BC1+Alternativa2!D35*p_CC1</f>
        <v>6.5015222684626636E-4</v>
      </c>
      <c r="E36" s="1">
        <f>B35*p_AD1+Alternativa2!C35*p_BD1+Alternativa2!D35*p_CD1+Alternativa2!E35*1</f>
        <v>123.80927515612036</v>
      </c>
      <c r="F36" s="1">
        <f t="shared" si="1"/>
        <v>123.81111080417296</v>
      </c>
    </row>
    <row r="37" spans="1:6" x14ac:dyDescent="0.25">
      <c r="A37">
        <v>22</v>
      </c>
      <c r="B37" s="1">
        <f t="shared" si="0"/>
        <v>1.7592186044416019E-6</v>
      </c>
      <c r="C37" s="1">
        <f>B36*p_AB1+Alternativa2!C36*p_BB1</f>
        <v>5.9164840124280218E-4</v>
      </c>
      <c r="D37" s="1">
        <f>B36*p_AC1+Alternativa2!C36*p_BC1+Alternativa2!D36*p_CC1</f>
        <v>3.256261307458513E-4</v>
      </c>
      <c r="E37" s="1">
        <f>B36*p_AD1+Alternativa2!C36*p_BD1+Alternativa2!D36*p_CD1+Alternativa2!E36*1</f>
        <v>123.80939931419294</v>
      </c>
      <c r="F37" s="1">
        <f t="shared" si="1"/>
        <v>123.81031834794354</v>
      </c>
    </row>
    <row r="38" spans="1:6" x14ac:dyDescent="0.25">
      <c r="A38">
        <v>23</v>
      </c>
      <c r="B38" s="1">
        <f t="shared" si="0"/>
        <v>7.0368744177664081E-7</v>
      </c>
      <c r="C38" s="1">
        <f>B37*p_AB1+Alternativa2!C37*p_BB1</f>
        <v>2.9626400527251151E-4</v>
      </c>
      <c r="D38" s="1">
        <f>B37*p_AC1+Alternativa2!C37*p_BC1+Alternativa2!D37*p_CC1</f>
        <v>1.6303304615112988E-4</v>
      </c>
      <c r="E38" s="1">
        <f>B37*p_AD1+Alternativa2!C37*p_BD1+Alternativa2!D37*p_CD1+Alternativa2!E37*1</f>
        <v>123.80946149441046</v>
      </c>
      <c r="F38" s="1">
        <f t="shared" si="1"/>
        <v>123.80992149514933</v>
      </c>
    </row>
    <row r="39" spans="1:6" x14ac:dyDescent="0.25">
      <c r="A39">
        <v>24</v>
      </c>
      <c r="B39" s="1">
        <f t="shared" si="0"/>
        <v>2.8147497671065634E-7</v>
      </c>
      <c r="C39" s="1">
        <f>B38*p_AB1+Alternativa2!C38*p_BB1</f>
        <v>1.4830792449669993E-4</v>
      </c>
      <c r="D39" s="1">
        <f>B38*p_AC1+Alternativa2!C38*p_BC1+Alternativa2!D38*p_CC1</f>
        <v>8.160450754158172E-5</v>
      </c>
      <c r="E39" s="1">
        <f>B38*p_AD1+Alternativa2!C38*p_BD1+Alternativa2!D38*p_CD1+Alternativa2!E38*1</f>
        <v>123.80949262498909</v>
      </c>
      <c r="F39" s="1">
        <f t="shared" si="1"/>
        <v>123.80972281889611</v>
      </c>
    </row>
    <row r="40" spans="1:6" x14ac:dyDescent="0.25">
      <c r="A40">
        <v>25</v>
      </c>
      <c r="B40" s="1">
        <f t="shared" si="0"/>
        <v>1.1258999068426254E-7</v>
      </c>
      <c r="C40" s="1">
        <f>B39*p_AB1+Alternativa2!C39*p_BB1</f>
        <v>7.4224330992527629E-5</v>
      </c>
      <c r="D40" s="1">
        <f>B39*p_AC1+Alternativa2!C39*p_BC1+Alternativa2!D39*p_CC1</f>
        <v>4.0837445203618107E-5</v>
      </c>
      <c r="E40" s="1">
        <f>B39*p_AD1+Alternativa2!C39*p_BD1+Alternativa2!D39*p_CD1+Alternativa2!E39*1</f>
        <v>123.80950820646557</v>
      </c>
      <c r="F40" s="1">
        <f t="shared" si="1"/>
        <v>123.80962338083175</v>
      </c>
    </row>
    <row r="41" spans="1:6" x14ac:dyDescent="0.25">
      <c r="A41">
        <v>26</v>
      </c>
      <c r="B41" s="1">
        <f t="shared" si="0"/>
        <v>4.5035996273705018E-8</v>
      </c>
      <c r="C41" s="1">
        <f>B40*p_AB1+Alternativa2!C40*p_BB1</f>
        <v>3.7140312993934881E-5</v>
      </c>
      <c r="D41" s="1">
        <f>B40*p_AC1+Alternativa2!C40*p_BC1+Alternativa2!D40*p_CC1</f>
        <v>2.0432798468866109E-5</v>
      </c>
      <c r="E41" s="1">
        <f>B40*p_AD1+Alternativa2!C40*p_BD1+Alternativa2!D40*p_CD1+Alternativa2!E40*1</f>
        <v>123.80951600367844</v>
      </c>
      <c r="F41" s="1">
        <f t="shared" si="1"/>
        <v>123.8095736218259</v>
      </c>
    </row>
    <row r="42" spans="1:6" x14ac:dyDescent="0.25">
      <c r="A42">
        <v>27</v>
      </c>
      <c r="B42" s="1">
        <f t="shared" si="0"/>
        <v>1.8014398509482009E-8</v>
      </c>
      <c r="C42" s="1">
        <f>B41*p_AB1+Alternativa2!C41*p_BB1</f>
        <v>1.8581415496035866E-5</v>
      </c>
      <c r="D42" s="1">
        <f>B41*p_AC1+Alternativa2!C41*p_BC1+Alternativa2!D41*p_CC1</f>
        <v>1.0222029369433726E-5</v>
      </c>
      <c r="E42" s="1">
        <f>B41*p_AD1+Alternativa2!C41*p_BD1+Alternativa2!D41*p_CD1+Alternativa2!E41*1</f>
        <v>123.80951990487466</v>
      </c>
      <c r="F42" s="1">
        <f t="shared" si="1"/>
        <v>123.80954872633393</v>
      </c>
    </row>
    <row r="43" spans="1:6" x14ac:dyDescent="0.25">
      <c r="A43">
        <v>28</v>
      </c>
      <c r="B43" s="1">
        <f t="shared" si="0"/>
        <v>7.2057594037928038E-9</v>
      </c>
      <c r="C43" s="1">
        <f>B42*p_AB1+Alternativa2!C42*p_BB1</f>
        <v>9.2952113476453037E-6</v>
      </c>
      <c r="D43" s="1">
        <f>B42*p_AC1+Alternativa2!C42*p_BC1+Alternativa2!D42*p_CC1</f>
        <v>5.113266675170485E-6</v>
      </c>
      <c r="E43" s="1">
        <f>B42*p_AD1+Alternativa2!C42*p_BD1+Alternativa2!D42*p_CD1+Alternativa2!E42*1</f>
        <v>123.80952185650867</v>
      </c>
      <c r="F43" s="1">
        <f t="shared" si="1"/>
        <v>123.80953627219245</v>
      </c>
    </row>
    <row r="44" spans="1:6" x14ac:dyDescent="0.25">
      <c r="A44">
        <v>29</v>
      </c>
      <c r="B44" s="1">
        <f t="shared" si="0"/>
        <v>2.8823037615171217E-9</v>
      </c>
      <c r="C44" s="1">
        <f>B43*p_AB1+Alternativa2!C43*p_BB1</f>
        <v>4.6494071136736002E-6</v>
      </c>
      <c r="D44" s="1">
        <f>B43*p_AC1+Alternativa2!C43*p_BC1+Alternativa2!D43*p_CC1</f>
        <v>2.5575341147026981E-6</v>
      </c>
      <c r="E44" s="1">
        <f>B43*p_AD1+Alternativa2!C43*p_BD1+Alternativa2!D43*p_CD1+Alternativa2!E43*1</f>
        <v>123.80952283274002</v>
      </c>
      <c r="F44" s="1">
        <f t="shared" si="1"/>
        <v>123.80953004256355</v>
      </c>
    </row>
    <row r="45" spans="1:6" x14ac:dyDescent="0.25">
      <c r="A45">
        <v>30</v>
      </c>
      <c r="B45" s="1">
        <f t="shared" si="0"/>
        <v>1.1529215046068487E-9</v>
      </c>
      <c r="C45" s="1">
        <f>B44*p_AB1+Alternativa2!C44*p_BB1</f>
        <v>2.3254241327771795E-6</v>
      </c>
      <c r="D45" s="1">
        <f>B44*p_AC1+Alternativa2!C44*p_BC1+Alternativa2!D44*p_CC1</f>
        <v>1.279127362479133E-6</v>
      </c>
      <c r="E45" s="1">
        <f>B44*p_AD1+Alternativa2!C44*p_BD1+Alternativa2!D44*p_CD1+Alternativa2!E44*1</f>
        <v>123.80952332102143</v>
      </c>
      <c r="F45" s="1">
        <f t="shared" si="1"/>
        <v>123.80952692672585</v>
      </c>
    </row>
    <row r="46" spans="1:6" x14ac:dyDescent="0.25">
      <c r="A46">
        <v>31</v>
      </c>
      <c r="B46" s="1">
        <f t="shared" si="0"/>
        <v>4.611686018427395E-10</v>
      </c>
      <c r="C46" s="1">
        <f>B45*p_AB1+Alternativa2!C45*p_BB1</f>
        <v>1.1630002967647415E-6</v>
      </c>
      <c r="D46" s="1">
        <f>B45*p_AC1+Alternativa2!C45*p_BC1+Alternativa2!D45*p_CC1</f>
        <v>6.3970780157492067E-7</v>
      </c>
      <c r="E46" s="1">
        <f>B45*p_AD1+Alternativa2!C45*p_BD1+Alternativa2!D45*p_CD1+Alternativa2!E45*1</f>
        <v>123.80952356522843</v>
      </c>
      <c r="F46" s="1">
        <f t="shared" si="1"/>
        <v>123.8095253683977</v>
      </c>
    </row>
    <row r="47" spans="1:6" x14ac:dyDescent="0.25">
      <c r="A47">
        <v>32</v>
      </c>
      <c r="B47" s="1">
        <f t="shared" si="0"/>
        <v>1.8446744073709582E-10</v>
      </c>
      <c r="C47" s="1">
        <f>B46*p_AB1+Alternativa2!C46*p_BB1</f>
        <v>5.8161544053283144E-7</v>
      </c>
      <c r="D47" s="1">
        <f>B46*p_AC1+Alternativa2!C46*p_BC1+Alternativa2!D46*p_CC1</f>
        <v>3.1991154840687414E-7</v>
      </c>
      <c r="E47" s="1">
        <f>B46*p_AD1+Alternativa2!C46*p_BD1+Alternativa2!D46*p_CD1+Alternativa2!E46*1</f>
        <v>123.80952368735845</v>
      </c>
      <c r="F47" s="1">
        <f t="shared" si="1"/>
        <v>123.80952458906991</v>
      </c>
    </row>
    <row r="48" spans="1:6" x14ac:dyDescent="0.25">
      <c r="A48">
        <v>33</v>
      </c>
      <c r="B48" s="1">
        <f t="shared" si="0"/>
        <v>7.3786976294838329E-11</v>
      </c>
      <c r="C48" s="1">
        <f>B47*p_AB1+Alternativa2!C47*p_BB1</f>
        <v>2.9085383712660002E-7</v>
      </c>
      <c r="D48" s="1">
        <f>B47*p_AC1+Alternativa2!C47*p_BC1+Alternativa2!D47*p_CC1</f>
        <v>1.5997883309678424E-7</v>
      </c>
      <c r="E48" s="1">
        <f>B47*p_AD1+Alternativa2!C47*p_BD1+Alternativa2!D47*p_CD1+Alternativa2!E47*1</f>
        <v>123.80952374843406</v>
      </c>
      <c r="F48" s="1">
        <f t="shared" si="1"/>
        <v>123.80952419934052</v>
      </c>
    </row>
    <row r="49" spans="1:6" x14ac:dyDescent="0.25">
      <c r="A49">
        <v>34</v>
      </c>
      <c r="B49" s="1">
        <f t="shared" si="0"/>
        <v>2.951479051793533E-11</v>
      </c>
      <c r="C49" s="1">
        <f>B48*p_AB1+Alternativa2!C48*p_BB1</f>
        <v>1.4544536530737372E-7</v>
      </c>
      <c r="D49" s="1">
        <f>B48*p_AC1+Alternativa2!C48*p_BC1+Alternativa2!D48*p_CC1</f>
        <v>7.9998640059405496E-8</v>
      </c>
      <c r="E49" s="1">
        <f>B48*p_AD1+Alternativa2!C48*p_BD1+Alternativa2!D48*p_CD1+Alternativa2!E48*1</f>
        <v>123.80952377897611</v>
      </c>
      <c r="F49" s="1">
        <f t="shared" si="1"/>
        <v>123.80952400444963</v>
      </c>
    </row>
    <row r="50" spans="1:6" x14ac:dyDescent="0.25">
      <c r="A50">
        <v>35</v>
      </c>
      <c r="B50" s="1">
        <f t="shared" si="0"/>
        <v>1.1805916207174133E-11</v>
      </c>
      <c r="C50" s="1">
        <f>B49*p_AB1+Alternativa2!C49*p_BB1</f>
        <v>7.2730061351316338E-8</v>
      </c>
      <c r="D50" s="1">
        <f>B49*p_AC1+Alternativa2!C49*p_BC1+Alternativa2!D49*p_CC1</f>
        <v>4.0003009420210448E-8</v>
      </c>
      <c r="E50" s="1">
        <f>B49*p_AD1+Alternativa2!C49*p_BD1+Alternativa2!D49*p_CD1+Alternativa2!E49*1</f>
        <v>123.80952379424883</v>
      </c>
      <c r="F50" s="1">
        <f t="shared" si="1"/>
        <v>123.8095239069937</v>
      </c>
    </row>
    <row r="51" spans="1:6" x14ac:dyDescent="0.25">
      <c r="F51" s="1"/>
    </row>
  </sheetData>
  <mergeCells count="1">
    <mergeCell ref="A1:F1"/>
  </mergeCells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1"/>
  <dimension ref="A1:F50"/>
  <sheetViews>
    <sheetView workbookViewId="0">
      <selection activeCell="F12" sqref="F12"/>
    </sheetView>
  </sheetViews>
  <sheetFormatPr baseColWidth="10" defaultRowHeight="13.2" x14ac:dyDescent="0.25"/>
  <cols>
    <col min="1" max="1" width="20" customWidth="1"/>
  </cols>
  <sheetData>
    <row r="1" spans="1:6" x14ac:dyDescent="0.25">
      <c r="A1" s="29" t="s">
        <v>12</v>
      </c>
      <c r="B1" s="29"/>
      <c r="C1" s="29"/>
      <c r="D1" s="29"/>
      <c r="E1" s="29"/>
      <c r="F1" s="29"/>
    </row>
    <row r="2" spans="1:6" x14ac:dyDescent="0.25">
      <c r="A2" s="3" t="s">
        <v>0</v>
      </c>
      <c r="B2" s="3"/>
      <c r="C2" s="3"/>
    </row>
    <row r="3" spans="1:6" x14ac:dyDescent="0.25">
      <c r="B3" s="15" t="s">
        <v>47</v>
      </c>
      <c r="C3" s="15" t="s">
        <v>48</v>
      </c>
      <c r="D3" s="15" t="s">
        <v>49</v>
      </c>
      <c r="E3" s="16" t="s">
        <v>50</v>
      </c>
    </row>
    <row r="4" spans="1:6" x14ac:dyDescent="0.25">
      <c r="A4" s="22" t="s">
        <v>47</v>
      </c>
      <c r="B4">
        <v>0.45</v>
      </c>
      <c r="C4">
        <v>0.3</v>
      </c>
      <c r="D4">
        <v>0.2</v>
      </c>
      <c r="E4">
        <v>2.5000000000000001E-2</v>
      </c>
    </row>
    <row r="5" spans="1:6" x14ac:dyDescent="0.25">
      <c r="A5" s="22" t="s">
        <v>48</v>
      </c>
      <c r="B5">
        <v>0</v>
      </c>
      <c r="C5" s="13">
        <v>0.55000000000000004</v>
      </c>
      <c r="D5">
        <v>0.16</v>
      </c>
      <c r="E5">
        <v>0.01</v>
      </c>
    </row>
    <row r="6" spans="1:6" x14ac:dyDescent="0.25">
      <c r="A6" s="22" t="s">
        <v>49</v>
      </c>
      <c r="B6">
        <v>0</v>
      </c>
      <c r="C6">
        <v>0</v>
      </c>
      <c r="D6">
        <v>0.35</v>
      </c>
      <c r="E6">
        <v>0.15</v>
      </c>
    </row>
    <row r="7" spans="1:6" x14ac:dyDescent="0.25">
      <c r="A7" s="22" t="s">
        <v>50</v>
      </c>
      <c r="B7">
        <v>0</v>
      </c>
      <c r="C7">
        <v>0</v>
      </c>
      <c r="D7">
        <v>0</v>
      </c>
      <c r="E7">
        <v>1</v>
      </c>
    </row>
    <row r="8" spans="1:6" x14ac:dyDescent="0.25">
      <c r="A8" s="22"/>
    </row>
    <row r="9" spans="1:6" x14ac:dyDescent="0.25">
      <c r="A9" s="22"/>
    </row>
    <row r="10" spans="1:6" x14ac:dyDescent="0.25">
      <c r="B10" s="15" t="s">
        <v>47</v>
      </c>
      <c r="C10" s="15" t="s">
        <v>48</v>
      </c>
      <c r="D10" s="15" t="s">
        <v>49</v>
      </c>
      <c r="E10" s="16" t="s">
        <v>50</v>
      </c>
    </row>
    <row r="11" spans="1:6" x14ac:dyDescent="0.25">
      <c r="A11" t="s">
        <v>1</v>
      </c>
      <c r="B11">
        <v>1000</v>
      </c>
      <c r="C11">
        <v>0</v>
      </c>
      <c r="D11">
        <v>0</v>
      </c>
      <c r="E11">
        <v>0</v>
      </c>
    </row>
    <row r="12" spans="1:6" x14ac:dyDescent="0.25">
      <c r="A12" t="s">
        <v>2</v>
      </c>
      <c r="B12" s="1">
        <f>SUM(B15:B50)</f>
        <v>1818.1818181812223</v>
      </c>
      <c r="C12" s="1">
        <f>SUM(C15:C50)</f>
        <v>1212.1212091240754</v>
      </c>
      <c r="D12" s="1">
        <f>SUM(D15:D50)</f>
        <v>857.80885541138673</v>
      </c>
      <c r="E12" s="1">
        <f>SUM(E15:E50)</f>
        <v>6041.9160232014974</v>
      </c>
      <c r="F12" s="4">
        <f>SUM(B12:E12)/B11</f>
        <v>9.9300279059181804</v>
      </c>
    </row>
    <row r="14" spans="1:6" ht="26.4" x14ac:dyDescent="0.25">
      <c r="A14" t="s">
        <v>5</v>
      </c>
      <c r="B14" s="15" t="s">
        <v>47</v>
      </c>
      <c r="C14" s="15" t="s">
        <v>48</v>
      </c>
      <c r="D14" s="15" t="s">
        <v>49</v>
      </c>
      <c r="E14" s="16" t="s">
        <v>50</v>
      </c>
      <c r="F14" s="22" t="s">
        <v>22</v>
      </c>
    </row>
    <row r="15" spans="1:6" x14ac:dyDescent="0.25">
      <c r="A15">
        <v>0</v>
      </c>
      <c r="B15" s="1">
        <v>1000</v>
      </c>
      <c r="C15" s="1">
        <v>0</v>
      </c>
      <c r="D15" s="1">
        <v>0</v>
      </c>
      <c r="E15" s="1">
        <v>0</v>
      </c>
    </row>
    <row r="16" spans="1:6" x14ac:dyDescent="0.25">
      <c r="A16">
        <v>1</v>
      </c>
      <c r="B16" s="1">
        <f t="shared" ref="B16:B50" si="0">B15*p_AA2</f>
        <v>450</v>
      </c>
      <c r="C16" s="1">
        <f>B15*p_AB2+Alternativa1!C15*p_BB2</f>
        <v>300</v>
      </c>
      <c r="D16" s="1">
        <f>B15*p_AC2+Alternativa1!C15*p_BC2+Alternativa1!D15*p_CC2</f>
        <v>200</v>
      </c>
      <c r="E16" s="1">
        <f>B15*p_AD2+Alternativa1!C15*p_BD2+Alternativa1!D15*p_CD2+Alternativa1!E15*1</f>
        <v>25</v>
      </c>
      <c r="F16" s="1">
        <f>SUM(B16:E16)</f>
        <v>975</v>
      </c>
    </row>
    <row r="17" spans="1:6" x14ac:dyDescent="0.25">
      <c r="A17">
        <v>2</v>
      </c>
      <c r="B17" s="1">
        <f t="shared" si="0"/>
        <v>202.5</v>
      </c>
      <c r="C17" s="1">
        <f>B16*p_AB2+Alternativa1!C16*p_BB2</f>
        <v>300</v>
      </c>
      <c r="D17" s="1">
        <f>B16*p_AC2+Alternativa1!C16*p_BC2+Alternativa1!D16*p_CC2</f>
        <v>208</v>
      </c>
      <c r="E17" s="1">
        <f>B16*p_AD2+Alternativa1!C16*p_BD2+Alternativa1!D16*p_CD2+Alternativa1!E16*1</f>
        <v>69.25</v>
      </c>
      <c r="F17" s="1">
        <f t="shared" ref="F17:F50" si="1">SUM(B17:E17)</f>
        <v>779.75</v>
      </c>
    </row>
    <row r="18" spans="1:6" x14ac:dyDescent="0.25">
      <c r="A18">
        <v>3</v>
      </c>
      <c r="B18" s="1">
        <f t="shared" si="0"/>
        <v>91.125</v>
      </c>
      <c r="C18" s="1">
        <f>B17*p_AB2+Alternativa1!C17*p_BB2</f>
        <v>225.75</v>
      </c>
      <c r="D18" s="1">
        <f>B17*p_AC2+Alternativa1!C17*p_BC2+Alternativa1!D17*p_CC2</f>
        <v>161.30000000000001</v>
      </c>
      <c r="E18" s="1">
        <f>B17*p_AD2+Alternativa1!C17*p_BD2+Alternativa1!D17*p_CD2+Alternativa1!E17*1</f>
        <v>108.5125</v>
      </c>
      <c r="F18" s="1">
        <f t="shared" si="1"/>
        <v>586.6875</v>
      </c>
    </row>
    <row r="19" spans="1:6" x14ac:dyDescent="0.25">
      <c r="A19">
        <v>4</v>
      </c>
      <c r="B19" s="1">
        <f t="shared" si="0"/>
        <v>41.006250000000001</v>
      </c>
      <c r="C19" s="1">
        <f>B18*p_AB2+Alternativa1!C18*p_BB2</f>
        <v>151.5</v>
      </c>
      <c r="D19" s="1">
        <f>B18*p_AC2+Alternativa1!C18*p_BC2+Alternativa1!D18*p_CC2</f>
        <v>110.8</v>
      </c>
      <c r="E19" s="1">
        <f>B18*p_AD2+Alternativa1!C18*p_BD2+Alternativa1!D18*p_CD2+Alternativa1!E18*1</f>
        <v>137.24312499999999</v>
      </c>
      <c r="F19" s="1">
        <f t="shared" si="1"/>
        <v>440.54937499999994</v>
      </c>
    </row>
    <row r="20" spans="1:6" x14ac:dyDescent="0.25">
      <c r="A20">
        <v>5</v>
      </c>
      <c r="B20" s="1">
        <f t="shared" si="0"/>
        <v>18.4528125</v>
      </c>
      <c r="C20" s="1">
        <f>B19*p_AB2+Alternativa1!C19*p_BB2</f>
        <v>95.626874999999998</v>
      </c>
      <c r="D20" s="1">
        <f>B19*p_AC2+Alternativa1!C19*p_BC2+Alternativa1!D19*p_CC2</f>
        <v>71.221249999999998</v>
      </c>
      <c r="E20" s="1">
        <f>B19*p_AD2+Alternativa1!C19*p_BD2+Alternativa1!D19*p_CD2+Alternativa1!E19*1</f>
        <v>156.40328124999999</v>
      </c>
      <c r="F20" s="1">
        <f t="shared" si="1"/>
        <v>341.70421875</v>
      </c>
    </row>
    <row r="21" spans="1:6" x14ac:dyDescent="0.25">
      <c r="A21">
        <v>6</v>
      </c>
      <c r="B21" s="1">
        <f t="shared" si="0"/>
        <v>8.3037656250000005</v>
      </c>
      <c r="C21" s="1">
        <f>B20*p_AB2+Alternativa1!C20*p_BB2</f>
        <v>58.130625000000002</v>
      </c>
      <c r="D21" s="1">
        <f>B20*p_AC2+Alternativa1!C20*p_BC2+Alternativa1!D20*p_CC2</f>
        <v>43.918299999999995</v>
      </c>
      <c r="E21" s="1">
        <f>B20*p_AD2+Alternativa1!C20*p_BD2+Alternativa1!D20*p_CD2+Alternativa1!E20*1</f>
        <v>168.50405781249998</v>
      </c>
      <c r="F21" s="1">
        <f t="shared" si="1"/>
        <v>278.85674843749996</v>
      </c>
    </row>
    <row r="22" spans="1:6" x14ac:dyDescent="0.25">
      <c r="A22">
        <v>7</v>
      </c>
      <c r="B22" s="1">
        <f t="shared" si="0"/>
        <v>3.7366945312500004</v>
      </c>
      <c r="C22" s="1">
        <f>B21*p_AB2+Alternativa1!C21*p_BB2</f>
        <v>34.462973437500004</v>
      </c>
      <c r="D22" s="1">
        <f>B21*p_AC2+Alternativa1!C21*p_BC2+Alternativa1!D21*p_CC2</f>
        <v>26.333058125000001</v>
      </c>
      <c r="E22" s="1">
        <f>B21*p_AD2+Alternativa1!C21*p_BD2+Alternativa1!D21*p_CD2+Alternativa1!E21*1</f>
        <v>175.88070320312497</v>
      </c>
      <c r="F22" s="1">
        <f t="shared" si="1"/>
        <v>240.41342929687497</v>
      </c>
    </row>
    <row r="23" spans="1:6" x14ac:dyDescent="0.25">
      <c r="A23">
        <v>8</v>
      </c>
      <c r="B23" s="1">
        <f t="shared" si="0"/>
        <v>1.6815125390625003</v>
      </c>
      <c r="C23" s="1">
        <f>B22*p_AB2+Alternativa1!C22*p_BB2</f>
        <v>20.075643750000005</v>
      </c>
      <c r="D23" s="1">
        <f>B22*p_AC2+Alternativa1!C22*p_BC2+Alternativa1!D22*p_CC2</f>
        <v>15.477985</v>
      </c>
      <c r="E23" s="1">
        <f>B22*p_AD2+Alternativa1!C22*p_BD2+Alternativa1!D22*p_CD2+Alternativa1!E22*1</f>
        <v>180.26870901953123</v>
      </c>
      <c r="F23" s="1">
        <f t="shared" si="1"/>
        <v>217.50385030859374</v>
      </c>
    </row>
    <row r="24" spans="1:6" x14ac:dyDescent="0.25">
      <c r="A24">
        <v>9</v>
      </c>
      <c r="B24" s="1">
        <f t="shared" si="0"/>
        <v>0.75668064257812517</v>
      </c>
      <c r="C24" s="1">
        <f>B23*p_AB2+Alternativa1!C23*p_BB2</f>
        <v>11.546057824218753</v>
      </c>
      <c r="D24" s="1">
        <f>B23*p_AC2+Alternativa1!C23*p_BC2+Alternativa1!D23*p_CC2</f>
        <v>8.9657002578125002</v>
      </c>
      <c r="E24" s="1">
        <f>B23*p_AD2+Alternativa1!C23*p_BD2+Alternativa1!D23*p_CD2+Alternativa1!E23*1</f>
        <v>182.8332010205078</v>
      </c>
      <c r="F24" s="1">
        <f t="shared" si="1"/>
        <v>204.10163974511718</v>
      </c>
    </row>
    <row r="25" spans="1:6" x14ac:dyDescent="0.25">
      <c r="A25">
        <v>10</v>
      </c>
      <c r="B25" s="1">
        <f t="shared" si="0"/>
        <v>0.34050628916015635</v>
      </c>
      <c r="C25" s="1">
        <f>B24*p_AB2+Alternativa1!C24*p_BB2</f>
        <v>6.5773359960937521</v>
      </c>
      <c r="D25" s="1">
        <f>B24*p_AC2+Alternativa1!C24*p_BC2+Alternativa1!D24*p_CC2</f>
        <v>5.1367004706249997</v>
      </c>
      <c r="E25" s="1">
        <f>B24*p_AD2+Alternativa1!C24*p_BD2+Alternativa1!D24*p_CD2+Alternativa1!E24*1</f>
        <v>184.31243365348632</v>
      </c>
      <c r="F25" s="1">
        <f t="shared" si="1"/>
        <v>196.36697640936524</v>
      </c>
    </row>
    <row r="26" spans="1:6" x14ac:dyDescent="0.25">
      <c r="A26">
        <v>11</v>
      </c>
      <c r="B26" s="1">
        <f t="shared" si="0"/>
        <v>0.15322783012207036</v>
      </c>
      <c r="C26" s="1">
        <f>B25*p_AB2+Alternativa1!C25*p_BB2</f>
        <v>3.719686684599611</v>
      </c>
      <c r="D26" s="1">
        <f>B25*p_AC2+Alternativa1!C25*p_BC2+Alternativa1!D25*p_CC2</f>
        <v>2.9183201819257816</v>
      </c>
      <c r="E26" s="1">
        <f>B25*p_AD2+Alternativa1!C25*p_BD2+Alternativa1!D25*p_CD2+Alternativa1!E25*1</f>
        <v>185.15722474127003</v>
      </c>
      <c r="F26" s="1">
        <f t="shared" si="1"/>
        <v>191.94845943791748</v>
      </c>
    </row>
    <row r="27" spans="1:6" x14ac:dyDescent="0.25">
      <c r="A27">
        <v>12</v>
      </c>
      <c r="B27" s="1">
        <f t="shared" si="0"/>
        <v>6.8952523554931672E-2</v>
      </c>
      <c r="C27" s="1">
        <f>B26*p_AB2+Alternativa1!C26*p_BB2</f>
        <v>2.0917960255664072</v>
      </c>
      <c r="D27" s="1">
        <f>B26*p_AC2+Alternativa1!C26*p_BC2+Alternativa1!D26*p_CC2</f>
        <v>1.6472074992343755</v>
      </c>
      <c r="E27" s="1">
        <f>B26*p_AD2+Alternativa1!C26*p_BD2+Alternativa1!D26*p_CD2+Alternativa1!E26*1</f>
        <v>185.63600033115793</v>
      </c>
      <c r="F27" s="1">
        <f t="shared" si="1"/>
        <v>189.44395637951365</v>
      </c>
    </row>
    <row r="28" spans="1:6" x14ac:dyDescent="0.25">
      <c r="A28">
        <v>13</v>
      </c>
      <c r="B28" s="1">
        <f t="shared" si="0"/>
        <v>3.1028635599719252E-2</v>
      </c>
      <c r="C28" s="1">
        <f>B27*p_AB2+Alternativa1!C27*p_BB2</f>
        <v>1.1711735711280036</v>
      </c>
      <c r="D28" s="1">
        <f>B27*p_AC2+Alternativa1!C27*p_BC2+Alternativa1!D27*p_CC2</f>
        <v>0.92500049353364289</v>
      </c>
      <c r="E28" s="1">
        <f>B27*p_AD2+Alternativa1!C27*p_BD2+Alternativa1!D27*p_CD2+Alternativa1!E27*1</f>
        <v>185.90572322938763</v>
      </c>
      <c r="F28" s="1">
        <f t="shared" si="1"/>
        <v>188.032925929649</v>
      </c>
    </row>
    <row r="29" spans="1:6" x14ac:dyDescent="0.25">
      <c r="A29">
        <v>14</v>
      </c>
      <c r="B29" s="1">
        <f t="shared" si="0"/>
        <v>1.3962886019873664E-2</v>
      </c>
      <c r="C29" s="1">
        <f>B28*p_AB2+Alternativa1!C28*p_BB2</f>
        <v>0.65345405480031771</v>
      </c>
      <c r="D29" s="1">
        <f>B28*p_AC2+Alternativa1!C28*p_BC2+Alternativa1!D28*p_CC2</f>
        <v>0.51734367123719938</v>
      </c>
      <c r="E29" s="1">
        <f>B28*p_AD2+Alternativa1!C28*p_BD2+Alternativa1!D28*p_CD2+Alternativa1!E28*1</f>
        <v>186.05696075501896</v>
      </c>
      <c r="F29" s="1">
        <f t="shared" si="1"/>
        <v>187.24172136707637</v>
      </c>
    </row>
    <row r="30" spans="1:6" x14ac:dyDescent="0.25">
      <c r="A30">
        <v>15</v>
      </c>
      <c r="B30" s="1">
        <f t="shared" si="0"/>
        <v>6.2832987089431486E-3</v>
      </c>
      <c r="C30" s="1">
        <f>B29*p_AB2+Alternativa1!C29*p_BB2</f>
        <v>0.36358859594613691</v>
      </c>
      <c r="D30" s="1">
        <f>B29*p_AC2+Alternativa1!C29*p_BC2+Alternativa1!D29*p_CC2</f>
        <v>0.28841551090504536</v>
      </c>
      <c r="E30" s="1">
        <f>B29*p_AD2+Alternativa1!C29*p_BD2+Alternativa1!D29*p_CD2+Alternativa1!E29*1</f>
        <v>186.14144591840304</v>
      </c>
      <c r="F30" s="1">
        <f t="shared" si="1"/>
        <v>186.79973332396315</v>
      </c>
    </row>
    <row r="31" spans="1:6" x14ac:dyDescent="0.25">
      <c r="A31">
        <v>16</v>
      </c>
      <c r="B31" s="1">
        <f t="shared" si="0"/>
        <v>2.8274844190244171E-3</v>
      </c>
      <c r="C31" s="1">
        <f>B30*p_AB2+Alternativa1!C30*p_BB2</f>
        <v>0.20185871738305824</v>
      </c>
      <c r="D31" s="1">
        <f>B30*p_AC2+Alternativa1!C30*p_BC2+Alternativa1!D30*p_CC2</f>
        <v>0.1603762639099364</v>
      </c>
      <c r="E31" s="1">
        <f>B30*p_AD2+Alternativa1!C30*p_BD2+Alternativa1!D30*p_CD2+Alternativa1!E30*1</f>
        <v>186.18850121346597</v>
      </c>
      <c r="F31" s="1">
        <f t="shared" si="1"/>
        <v>186.55356367917798</v>
      </c>
    </row>
    <row r="32" spans="1:6" x14ac:dyDescent="0.25">
      <c r="A32">
        <v>17</v>
      </c>
      <c r="B32" s="1">
        <f t="shared" si="0"/>
        <v>1.2723679885609878E-3</v>
      </c>
      <c r="C32" s="1">
        <f>B31*p_AB2+Alternativa1!C31*p_BB2</f>
        <v>0.11187053988638937</v>
      </c>
      <c r="D32" s="1">
        <f>B31*p_AC2+Alternativa1!C31*p_BC2+Alternativa1!D31*p_CC2</f>
        <v>8.8994584033571938E-2</v>
      </c>
      <c r="E32" s="1">
        <f>B31*p_AD2+Alternativa1!C31*p_BD2+Alternativa1!D31*p_CD2+Alternativa1!E31*1</f>
        <v>186.21464692733676</v>
      </c>
      <c r="F32" s="1">
        <f t="shared" si="1"/>
        <v>186.41678441924529</v>
      </c>
    </row>
    <row r="33" spans="1:6" x14ac:dyDescent="0.25">
      <c r="A33">
        <v>18</v>
      </c>
      <c r="B33" s="1">
        <f t="shared" si="0"/>
        <v>5.7256559485244457E-4</v>
      </c>
      <c r="C33" s="1">
        <f>B32*p_AB2+Alternativa1!C32*p_BB2</f>
        <v>6.191050733408246E-2</v>
      </c>
      <c r="D33" s="1">
        <f>B32*p_AC2+Alternativa1!C32*p_BC2+Alternativa1!D32*p_CC2</f>
        <v>4.9301864391284672E-2</v>
      </c>
      <c r="E33" s="1">
        <f>B32*p_AD2+Alternativa1!C32*p_BD2+Alternativa1!D32*p_CD2+Alternativa1!E32*1</f>
        <v>186.22914662954037</v>
      </c>
      <c r="F33" s="1">
        <f t="shared" si="1"/>
        <v>186.34093156686058</v>
      </c>
    </row>
    <row r="34" spans="1:6" x14ac:dyDescent="0.25">
      <c r="A34">
        <v>19</v>
      </c>
      <c r="B34" s="1">
        <f t="shared" si="0"/>
        <v>2.5765451768360005E-4</v>
      </c>
      <c r="C34" s="1">
        <f>B33*p_AB2+Alternativa1!C33*p_BB2</f>
        <v>3.4222548712201088E-2</v>
      </c>
      <c r="D34" s="1">
        <f>B33*p_AC2+Alternativa1!C33*p_BC2+Alternativa1!D33*p_CC2</f>
        <v>2.7275846829373316E-2</v>
      </c>
      <c r="E34" s="1">
        <f>B33*p_AD2+Alternativa1!C33*p_BD2+Alternativa1!D33*p_CD2+Alternativa1!E33*1</f>
        <v>186.23717532841226</v>
      </c>
      <c r="F34" s="1">
        <f t="shared" si="1"/>
        <v>186.29893137847151</v>
      </c>
    </row>
    <row r="35" spans="1:6" x14ac:dyDescent="0.25">
      <c r="A35">
        <v>20</v>
      </c>
      <c r="B35" s="1">
        <f t="shared" si="0"/>
        <v>1.1594453295762003E-4</v>
      </c>
      <c r="C35" s="1">
        <f>B34*p_AB2+Alternativa1!C34*p_BB2</f>
        <v>1.889969814701568E-2</v>
      </c>
      <c r="D35" s="1">
        <f>B34*p_AC2+Alternativa1!C34*p_BC2+Alternativa1!D34*p_CC2</f>
        <v>1.5073685087769555E-2</v>
      </c>
      <c r="E35" s="1">
        <f>B34*p_AD2+Alternativa1!C34*p_BD2+Alternativa1!D34*p_CD2+Alternativa1!E34*1</f>
        <v>186.24161537228673</v>
      </c>
      <c r="F35" s="1">
        <f t="shared" si="1"/>
        <v>186.27570470005446</v>
      </c>
    </row>
    <row r="36" spans="1:6" x14ac:dyDescent="0.25">
      <c r="A36">
        <v>21</v>
      </c>
      <c r="B36" s="1">
        <f t="shared" si="0"/>
        <v>5.2175039830929016E-5</v>
      </c>
      <c r="C36" s="1">
        <f>B35*p_AB2+Alternativa1!C35*p_BB2</f>
        <v>1.0429617340745911E-2</v>
      </c>
      <c r="D36" s="1">
        <f>B35*p_AC2+Alternativa1!C35*p_BC2+Alternativa1!D35*p_CC2</f>
        <v>8.322930390833377E-3</v>
      </c>
      <c r="E36" s="1">
        <f>B35*p_AD2+Alternativa1!C35*p_BD2+Alternativa1!D35*p_CD2+Alternativa1!E35*1</f>
        <v>186.24406832064469</v>
      </c>
      <c r="F36" s="1">
        <f t="shared" si="1"/>
        <v>186.26287304341611</v>
      </c>
    </row>
    <row r="37" spans="1:6" x14ac:dyDescent="0.25">
      <c r="A37">
        <v>22</v>
      </c>
      <c r="B37" s="1">
        <f t="shared" si="0"/>
        <v>2.3478767923918056E-5</v>
      </c>
      <c r="C37" s="1">
        <f>B36*p_AB2+Alternativa1!C36*p_BB2</f>
        <v>5.7519420493595298E-3</v>
      </c>
      <c r="D37" s="1">
        <f>B36*p_AC2+Alternativa1!C36*p_BC2+Alternativa1!D36*p_CC2</f>
        <v>4.5921994192772136E-3</v>
      </c>
      <c r="E37" s="1">
        <f>B36*p_AD2+Alternativa1!C36*p_BD2+Alternativa1!D36*p_CD2+Alternativa1!E36*1</f>
        <v>186.24542236075271</v>
      </c>
      <c r="F37" s="1">
        <f t="shared" si="1"/>
        <v>186.25578998098928</v>
      </c>
    </row>
    <row r="38" spans="1:6" x14ac:dyDescent="0.25">
      <c r="A38">
        <v>23</v>
      </c>
      <c r="B38" s="1">
        <f t="shared" si="0"/>
        <v>1.0565445565763125E-5</v>
      </c>
      <c r="C38" s="1">
        <f>B37*p_AB2+Alternativa1!C37*p_BB2</f>
        <v>3.1706117575249172E-3</v>
      </c>
      <c r="D38" s="1">
        <f>B37*p_AC2+Alternativa1!C37*p_BC2+Alternativa1!D37*p_CC2</f>
        <v>2.5322762782293332E-3</v>
      </c>
      <c r="E38" s="1">
        <f>B37*p_AD2+Alternativa1!C37*p_BD2+Alternativa1!D37*p_CD2+Alternativa1!E37*1</f>
        <v>186.2461692970553</v>
      </c>
      <c r="F38" s="1">
        <f t="shared" si="1"/>
        <v>186.25188275053662</v>
      </c>
    </row>
    <row r="39" spans="1:6" x14ac:dyDescent="0.25">
      <c r="A39">
        <v>24</v>
      </c>
      <c r="B39" s="1">
        <f t="shared" si="0"/>
        <v>4.7544505045934059E-6</v>
      </c>
      <c r="C39" s="1">
        <f>B38*p_AB2+Alternativa1!C38*p_BB2</f>
        <v>1.7470061003084336E-3</v>
      </c>
      <c r="D39" s="1">
        <f>B38*p_AC2+Alternativa1!C38*p_BC2+Alternativa1!D38*p_CC2</f>
        <v>1.395707667697406E-3</v>
      </c>
      <c r="E39" s="1">
        <f>B38*p_AD2+Alternativa1!C38*p_BD2+Alternativa1!D38*p_CD2+Alternativa1!E38*1</f>
        <v>186.24658110875075</v>
      </c>
      <c r="F39" s="1">
        <f t="shared" si="1"/>
        <v>186.24972857696926</v>
      </c>
    </row>
    <row r="40" spans="1:6" x14ac:dyDescent="0.25">
      <c r="A40">
        <v>25</v>
      </c>
      <c r="B40" s="1">
        <f t="shared" si="0"/>
        <v>2.1395027270670328E-6</v>
      </c>
      <c r="C40" s="1">
        <f>B39*p_AB2+Alternativa1!C39*p_BB2</f>
        <v>9.6227969032101662E-4</v>
      </c>
      <c r="D40" s="1">
        <f>B39*p_AC2+Alternativa1!C39*p_BC2+Alternativa1!D39*p_CC2</f>
        <v>7.6896954984436014E-4</v>
      </c>
      <c r="E40" s="1">
        <f>B39*p_AD2+Alternativa1!C39*p_BD2+Alternativa1!D39*p_CD2+Alternativa1!E39*1</f>
        <v>186.24680805382317</v>
      </c>
      <c r="F40" s="1">
        <f t="shared" si="1"/>
        <v>186.24854144256608</v>
      </c>
    </row>
    <row r="41" spans="1:6" x14ac:dyDescent="0.25">
      <c r="A41">
        <v>26</v>
      </c>
      <c r="B41" s="1">
        <f t="shared" si="0"/>
        <v>9.6277622718016472E-7</v>
      </c>
      <c r="C41" s="1">
        <f>B40*p_AB2+Alternativa1!C40*p_BB2</f>
        <v>5.2989568049467922E-4</v>
      </c>
      <c r="D41" s="1">
        <f>B40*p_AC2+Alternativa1!C40*p_BC2+Alternativa1!D40*p_CC2</f>
        <v>4.235319934423021E-4</v>
      </c>
      <c r="E41" s="1">
        <f>B40*p_AD2+Alternativa1!C40*p_BD2+Alternativa1!D40*p_CD2+Alternativa1!E40*1</f>
        <v>186.24693307554011</v>
      </c>
      <c r="F41" s="1">
        <f t="shared" si="1"/>
        <v>186.24788746599029</v>
      </c>
    </row>
    <row r="42" spans="1:6" x14ac:dyDescent="0.25">
      <c r="A42">
        <v>27</v>
      </c>
      <c r="B42" s="1">
        <f t="shared" si="0"/>
        <v>4.3324930223107414E-7</v>
      </c>
      <c r="C42" s="1">
        <f>B41*p_AB2+Alternativa1!C41*p_BB2</f>
        <v>2.9173145714022763E-4</v>
      </c>
      <c r="D42" s="1">
        <f>B41*p_AC2+Alternativa1!C41*p_BC2+Alternativa1!D41*p_CC2</f>
        <v>2.3321206182939043E-4</v>
      </c>
      <c r="E42" s="1">
        <f>B41*p_AD2+Alternativa1!C41*p_BD2+Alternativa1!D41*p_CD2+Alternativa1!E41*1</f>
        <v>186.24700192836534</v>
      </c>
      <c r="F42" s="1">
        <f t="shared" si="1"/>
        <v>186.24752730513362</v>
      </c>
    </row>
    <row r="43" spans="1:6" x14ac:dyDescent="0.25">
      <c r="A43">
        <v>28</v>
      </c>
      <c r="B43" s="1">
        <f t="shared" si="0"/>
        <v>1.9496218600398337E-7</v>
      </c>
      <c r="C43" s="1">
        <f>B42*p_AB2+Alternativa1!C42*p_BB2</f>
        <v>1.6058227621779453E-4</v>
      </c>
      <c r="D43" s="1">
        <f>B42*p_AC2+Alternativa1!C42*p_BC2+Alternativa1!D42*p_CC2</f>
        <v>1.2838790464316928E-4</v>
      </c>
      <c r="E43" s="1">
        <f>B42*p_AD2+Alternativa1!C42*p_BD2+Alternativa1!D42*p_CD2+Alternativa1!E42*1</f>
        <v>186.2470398383204</v>
      </c>
      <c r="F43" s="1">
        <f t="shared" si="1"/>
        <v>186.24732900346345</v>
      </c>
    </row>
    <row r="44" spans="1:6" x14ac:dyDescent="0.25">
      <c r="A44">
        <v>29</v>
      </c>
      <c r="B44" s="1">
        <f t="shared" si="0"/>
        <v>8.7732983701792512E-8</v>
      </c>
      <c r="C44" s="1">
        <f>B43*p_AB2+Alternativa1!C43*p_BB2</f>
        <v>8.8378740575588199E-5</v>
      </c>
      <c r="D44" s="1">
        <f>B43*p_AC2+Alternativa1!C43*p_BC2+Alternativa1!D43*p_CC2</f>
        <v>7.0667923257157174E-5</v>
      </c>
      <c r="E44" s="1">
        <f>B43*p_AD2+Alternativa1!C43*p_BD2+Alternativa1!D43*p_CD2+Alternativa1!E43*1</f>
        <v>186.24706070720291</v>
      </c>
      <c r="F44" s="1">
        <f t="shared" si="1"/>
        <v>186.24721984159973</v>
      </c>
    </row>
    <row r="45" spans="1:6" x14ac:dyDescent="0.25">
      <c r="A45">
        <v>30</v>
      </c>
      <c r="B45" s="1">
        <f t="shared" si="0"/>
        <v>3.9479842665806631E-8</v>
      </c>
      <c r="C45" s="1">
        <f>B44*p_AB2+Alternativa1!C44*p_BB2</f>
        <v>4.8634627211684054E-5</v>
      </c>
      <c r="D45" s="1">
        <f>B44*p_AC2+Alternativa1!C44*p_BC2+Alternativa1!D44*p_CC2</f>
        <v>3.8891918228839478E-5</v>
      </c>
      <c r="E45" s="1">
        <f>B44*p_AD2+Alternativa1!C44*p_BD2+Alternativa1!D44*p_CD2+Alternativa1!E44*1</f>
        <v>186.24707219337213</v>
      </c>
      <c r="F45" s="1">
        <f t="shared" si="1"/>
        <v>186.24715975939742</v>
      </c>
    </row>
    <row r="46" spans="1:6" x14ac:dyDescent="0.25">
      <c r="A46">
        <v>31</v>
      </c>
      <c r="B46" s="1">
        <f t="shared" si="0"/>
        <v>1.7765929199612984E-8</v>
      </c>
      <c r="C46" s="1">
        <f>B45*p_AB2+Alternativa1!C45*p_BB2</f>
        <v>2.6760888919225976E-5</v>
      </c>
      <c r="D46" s="1">
        <f>B45*p_AC2+Alternativa1!C45*p_BC2+Alternativa1!D45*p_CC2</f>
        <v>2.1401607702496425E-5</v>
      </c>
      <c r="E46" s="1">
        <f>B45*p_AD2+Alternativa1!C45*p_BD2+Alternativa1!D45*p_CD2+Alternativa1!E45*1</f>
        <v>186.24707851449313</v>
      </c>
      <c r="F46" s="1">
        <f t="shared" si="1"/>
        <v>186.24712669475568</v>
      </c>
    </row>
    <row r="47" spans="1:6" x14ac:dyDescent="0.25">
      <c r="A47">
        <v>32</v>
      </c>
      <c r="B47" s="1">
        <f t="shared" si="0"/>
        <v>7.994668139825843E-9</v>
      </c>
      <c r="C47" s="1">
        <f>B46*p_AB2+Alternativa1!C46*p_BB2</f>
        <v>1.4723818684334171E-5</v>
      </c>
      <c r="D47" s="1">
        <f>B46*p_AC2+Alternativa1!C46*p_BC2+Alternativa1!D46*p_CC2</f>
        <v>1.1775858108789827E-5</v>
      </c>
      <c r="E47" s="1">
        <f>B46*p_AD2+Alternativa1!C46*p_BD2+Alternativa1!D46*p_CD2+Alternativa1!E46*1</f>
        <v>186.24708199278732</v>
      </c>
      <c r="F47" s="1">
        <f t="shared" si="1"/>
        <v>186.24710850045878</v>
      </c>
    </row>
    <row r="48" spans="1:6" x14ac:dyDescent="0.25">
      <c r="A48">
        <v>33</v>
      </c>
      <c r="B48" s="1">
        <f t="shared" si="0"/>
        <v>3.5976006629216293E-9</v>
      </c>
      <c r="C48" s="1">
        <f>B47*p_AB2+Alternativa1!C47*p_BB2</f>
        <v>8.1004986768257416E-6</v>
      </c>
      <c r="D48" s="1">
        <f>B47*p_AC2+Alternativa1!C47*p_BC2+Alternativa1!D47*p_CC2</f>
        <v>6.4789602611978719E-6</v>
      </c>
      <c r="E48" s="1">
        <f>B47*p_AD2+Alternativa1!C47*p_BD2+Alternativa1!D47*p_CD2+Alternativa1!E47*1</f>
        <v>186.24708390660408</v>
      </c>
      <c r="F48" s="1">
        <f t="shared" si="1"/>
        <v>186.2470984896606</v>
      </c>
    </row>
    <row r="49" spans="1:6" x14ac:dyDescent="0.25">
      <c r="A49">
        <v>34</v>
      </c>
      <c r="B49" s="1">
        <f t="shared" si="0"/>
        <v>1.6189202983147332E-9</v>
      </c>
      <c r="C49" s="1">
        <f>B48*p_AB2+Alternativa1!C48*p_BB2</f>
        <v>4.456353552453035E-6</v>
      </c>
      <c r="D49" s="1">
        <f>B48*p_AC2+Alternativa1!C48*p_BC2+Alternativa1!D48*p_CC2</f>
        <v>3.5644353998439577E-6</v>
      </c>
      <c r="E49" s="1">
        <f>B48*p_AD2+Alternativa1!C48*p_BD2+Alternativa1!D48*p_CD2+Alternativa1!E48*1</f>
        <v>186.24708495954303</v>
      </c>
      <c r="F49" s="1">
        <f t="shared" si="1"/>
        <v>186.24709298195091</v>
      </c>
    </row>
    <row r="50" spans="1:6" x14ac:dyDescent="0.25">
      <c r="A50">
        <v>35</v>
      </c>
      <c r="B50" s="1">
        <f t="shared" si="0"/>
        <v>7.2851413424162997E-10</v>
      </c>
      <c r="C50" s="1">
        <f>B49*p_AB2+Alternativa1!C49*p_BB2</f>
        <v>2.4514801299386641E-6</v>
      </c>
      <c r="D50" s="1">
        <f>B49*p_AC2+Alternativa1!C49*p_BC2+Alternativa1!D49*p_CC2</f>
        <v>1.9608927423975336E-6</v>
      </c>
      <c r="E50" s="1">
        <f>B49*p_AD2+Alternativa1!C49*p_BD2+Alternativa1!D49*p_CD2+Alternativa1!E49*1</f>
        <v>186.24708553881234</v>
      </c>
      <c r="F50" s="1">
        <f t="shared" si="1"/>
        <v>186.24708995191372</v>
      </c>
    </row>
  </sheetData>
  <mergeCells count="1">
    <mergeCell ref="A1:F1"/>
  </mergeCells>
  <phoneticPr fontId="3" type="noConversion"/>
  <pageMargins left="0.75" right="0.75" top="1" bottom="1" header="0" footer="0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L45"/>
  <sheetViews>
    <sheetView topLeftCell="E1" workbookViewId="0">
      <selection activeCell="L6" sqref="L6"/>
    </sheetView>
  </sheetViews>
  <sheetFormatPr baseColWidth="10" defaultRowHeight="13.2" x14ac:dyDescent="0.25"/>
  <cols>
    <col min="2" max="2" width="8.5546875" customWidth="1"/>
    <col min="3" max="3" width="10.21875" customWidth="1"/>
    <col min="4" max="4" width="12.5546875" bestFit="1" customWidth="1"/>
    <col min="5" max="5" width="11" customWidth="1"/>
    <col min="6" max="7" width="9" customWidth="1"/>
    <col min="10" max="10" width="10.5546875" customWidth="1"/>
    <col min="11" max="11" width="9.21875" customWidth="1"/>
  </cols>
  <sheetData>
    <row r="1" spans="1:12" x14ac:dyDescent="0.25">
      <c r="C1" s="28" t="s">
        <v>8</v>
      </c>
      <c r="D1" s="28"/>
      <c r="E1" s="28"/>
      <c r="F1" s="28"/>
      <c r="H1" s="29" t="s">
        <v>6</v>
      </c>
      <c r="I1" s="29"/>
      <c r="J1" s="29"/>
      <c r="K1" s="29"/>
    </row>
    <row r="2" spans="1:12" x14ac:dyDescent="0.25">
      <c r="E2" s="4"/>
      <c r="J2" s="4"/>
    </row>
    <row r="3" spans="1:12" x14ac:dyDescent="0.25">
      <c r="C3" s="15" t="s">
        <v>47</v>
      </c>
      <c r="D3" s="15" t="s">
        <v>48</v>
      </c>
      <c r="E3" s="15" t="s">
        <v>49</v>
      </c>
      <c r="F3" s="16" t="s">
        <v>50</v>
      </c>
      <c r="G3" s="23"/>
      <c r="H3" s="15" t="s">
        <v>47</v>
      </c>
      <c r="I3" s="15" t="s">
        <v>48</v>
      </c>
      <c r="J3" s="15" t="s">
        <v>49</v>
      </c>
      <c r="K3" s="16" t="s">
        <v>50</v>
      </c>
      <c r="L3" s="15"/>
    </row>
    <row r="4" spans="1:12" x14ac:dyDescent="0.25">
      <c r="B4" s="3" t="s">
        <v>3</v>
      </c>
      <c r="C4">
        <v>0.92</v>
      </c>
      <c r="D4">
        <v>0.89</v>
      </c>
      <c r="E4">
        <v>0.86</v>
      </c>
      <c r="F4">
        <v>0.26</v>
      </c>
      <c r="H4">
        <v>0.92</v>
      </c>
      <c r="I4">
        <v>0.89</v>
      </c>
      <c r="J4">
        <v>0.86</v>
      </c>
      <c r="K4">
        <v>0.26</v>
      </c>
    </row>
    <row r="6" spans="1:12" x14ac:dyDescent="0.25">
      <c r="B6" t="s">
        <v>7</v>
      </c>
      <c r="C6" s="6">
        <f>SUM(C11:C45)</f>
        <v>594.46153846153709</v>
      </c>
      <c r="D6" s="6">
        <f>SUM(D11:D455)</f>
        <v>686.17132866012537</v>
      </c>
      <c r="E6" s="6">
        <f>SUM(E11:E45)</f>
        <v>388.98461537866132</v>
      </c>
      <c r="F6" s="6">
        <f>SUM(F11:F45)</f>
        <v>489.50231255689027</v>
      </c>
      <c r="G6" s="6">
        <f>SUM(C6:F6)/Alternativa2!B11</f>
        <v>2.1591197950572143</v>
      </c>
      <c r="H6" s="6">
        <f>SUM(H11:H45)</f>
        <v>724.49999999990439</v>
      </c>
      <c r="I6" s="6">
        <f>SUM(I11:I45)</f>
        <v>981.22499954301895</v>
      </c>
      <c r="J6" s="6">
        <f>SUM(J11:J45)</f>
        <v>668.219999646774</v>
      </c>
      <c r="K6" s="6">
        <f>SUM(K11:K45)</f>
        <v>717.90926077002962</v>
      </c>
      <c r="L6" s="6">
        <f>SUM(H6:K6)/1000</f>
        <v>3.0918542599597267</v>
      </c>
    </row>
    <row r="7" spans="1:12" x14ac:dyDescent="0.25">
      <c r="C7" s="6"/>
      <c r="D7" s="6"/>
      <c r="E7" s="6"/>
      <c r="H7" s="6"/>
      <c r="I7" s="6"/>
      <c r="J7" s="6"/>
    </row>
    <row r="8" spans="1:12" x14ac:dyDescent="0.25">
      <c r="A8" s="3"/>
      <c r="C8" s="6"/>
      <c r="D8" s="6"/>
      <c r="E8" s="6"/>
      <c r="H8" s="6"/>
      <c r="I8" s="6"/>
      <c r="J8" s="6"/>
    </row>
    <row r="9" spans="1:12" x14ac:dyDescent="0.25">
      <c r="C9" s="31" t="s">
        <v>8</v>
      </c>
      <c r="D9" s="31"/>
      <c r="E9" s="31"/>
      <c r="F9" s="31"/>
      <c r="H9" s="30" t="s">
        <v>6</v>
      </c>
      <c r="I9" s="30"/>
      <c r="J9" s="30"/>
      <c r="K9" s="30"/>
    </row>
    <row r="10" spans="1:12" x14ac:dyDescent="0.25">
      <c r="A10" s="5" t="s">
        <v>4</v>
      </c>
      <c r="B10" s="5" t="s">
        <v>5</v>
      </c>
      <c r="C10" s="15" t="s">
        <v>47</v>
      </c>
      <c r="D10" s="15" t="s">
        <v>48</v>
      </c>
      <c r="E10" s="15" t="s">
        <v>49</v>
      </c>
      <c r="F10" s="16" t="s">
        <v>50</v>
      </c>
      <c r="G10" s="23"/>
      <c r="H10" s="15" t="s">
        <v>47</v>
      </c>
      <c r="I10" s="15" t="s">
        <v>48</v>
      </c>
      <c r="J10" s="15" t="s">
        <v>49</v>
      </c>
      <c r="K10" s="16" t="s">
        <v>50</v>
      </c>
    </row>
    <row r="11" spans="1:12" x14ac:dyDescent="0.25">
      <c r="A11">
        <v>1</v>
      </c>
      <c r="B11">
        <v>1</v>
      </c>
      <c r="C11" s="14">
        <f>A11*Alternativa2!B16*u_A</f>
        <v>368</v>
      </c>
      <c r="D11" s="14">
        <f>A11*Alternativa2!C16*u_B</f>
        <v>222.5</v>
      </c>
      <c r="E11" s="14">
        <f>A11*Alternativa2!D16*u_C</f>
        <v>129</v>
      </c>
      <c r="F11">
        <f>A11*Alternativa2!E16*Param!B32</f>
        <v>5.2</v>
      </c>
      <c r="H11" s="14">
        <f>A11*Alternativa1!B16*u_A</f>
        <v>414</v>
      </c>
      <c r="I11" s="14">
        <f>A11*Alternativa1!C16*u_B</f>
        <v>267</v>
      </c>
      <c r="J11" s="14">
        <f>A11*Alternativa1!D16*u_C</f>
        <v>172</v>
      </c>
      <c r="K11">
        <f>A11*Alternativa1!E16*Param!B32</f>
        <v>6.5</v>
      </c>
    </row>
    <row r="12" spans="1:12" x14ac:dyDescent="0.25">
      <c r="A12">
        <f t="shared" ref="A12:A45" si="0">A11/(1+Descuento)</f>
        <v>0.95238095238095233</v>
      </c>
      <c r="B12">
        <v>2</v>
      </c>
      <c r="C12" s="14">
        <f>A12*Alternativa2!B17*u_A</f>
        <v>140.1904761904762</v>
      </c>
      <c r="D12" s="14">
        <f>A12*Alternativa2!C17*u_B</f>
        <v>190.71428571428572</v>
      </c>
      <c r="E12" s="14">
        <f>A12*Alternativa2!D17*u_C</f>
        <v>108.52380952380952</v>
      </c>
      <c r="F12">
        <f>A12*Alternativa2!E17*Param!B32</f>
        <v>13.742857142857142</v>
      </c>
      <c r="H12" s="14">
        <f>A12*Alternativa1!B17*u_A</f>
        <v>177.42857142857142</v>
      </c>
      <c r="I12" s="14">
        <f>A12*Alternativa1!C17*u_B</f>
        <v>254.28571428571431</v>
      </c>
      <c r="J12" s="14">
        <f>A12*Alternativa1!D17*u_C</f>
        <v>170.36190476190475</v>
      </c>
      <c r="K12">
        <f>A12*Alternativa1!E17*Param!B32</f>
        <v>17.147619047619049</v>
      </c>
    </row>
    <row r="13" spans="1:12" x14ac:dyDescent="0.25">
      <c r="A13">
        <f t="shared" si="0"/>
        <v>0.90702947845804982</v>
      </c>
      <c r="B13">
        <v>3</v>
      </c>
      <c r="C13" s="14">
        <f>A13*Alternativa2!B18*u_A</f>
        <v>53.405895691609977</v>
      </c>
      <c r="D13" s="14">
        <f>A13*Alternativa2!C18*u_B</f>
        <v>123.10657596371881</v>
      </c>
      <c r="E13" s="14">
        <f>A13*Alternativa2!D18*u_C</f>
        <v>69.034013605442169</v>
      </c>
      <c r="F13">
        <f>A13*Alternativa2!E18*Param!B32</f>
        <v>19.620861678004534</v>
      </c>
      <c r="H13" s="14">
        <f>A13*Alternativa1!B18*u_A</f>
        <v>76.040816326530603</v>
      </c>
      <c r="I13" s="14">
        <f>A13*Alternativa1!C18*u_B</f>
        <v>182.23809523809524</v>
      </c>
      <c r="J13" s="14">
        <f>A13*Alternativa1!D18*u_C</f>
        <v>125.82131519274375</v>
      </c>
      <c r="K13">
        <f>A13*Alternativa1!E18*Param!B32</f>
        <v>25.590249433106575</v>
      </c>
    </row>
    <row r="14" spans="1:12" x14ac:dyDescent="0.25">
      <c r="A14">
        <f t="shared" si="0"/>
        <v>0.86383759853147601</v>
      </c>
      <c r="B14">
        <v>4</v>
      </c>
      <c r="C14" s="14">
        <f>A14*Alternativa2!B19*u_A</f>
        <v>20.345103120613327</v>
      </c>
      <c r="D14" s="14">
        <f>A14*Alternativa2!C19*u_B</f>
        <v>70.9232264334305</v>
      </c>
      <c r="E14" s="14">
        <f>A14*Alternativa2!D19*u_C</f>
        <v>39.318000215959394</v>
      </c>
      <c r="F14">
        <f>A14*Alternativa2!E19*Param!B32</f>
        <v>22.674268437533744</v>
      </c>
      <c r="H14" s="14">
        <f>A14*Alternativa1!B19*u_A</f>
        <v>32.588921282798836</v>
      </c>
      <c r="I14" s="14">
        <f>A14*Alternativa1!C19*u_B</f>
        <v>116.47554259799158</v>
      </c>
      <c r="J14" s="14">
        <f>A14*Alternativa1!D19*u_C</f>
        <v>82.313357088867278</v>
      </c>
      <c r="K14">
        <f>A14*Alternativa1!E19*Param!B32</f>
        <v>30.824500593888345</v>
      </c>
    </row>
    <row r="15" spans="1:12" x14ac:dyDescent="0.25">
      <c r="A15">
        <f t="shared" si="0"/>
        <v>0.82270247479188185</v>
      </c>
      <c r="B15">
        <v>5</v>
      </c>
      <c r="C15" s="14">
        <f>A15*Alternativa2!B20*u_A</f>
        <v>7.7505154745193625</v>
      </c>
      <c r="D15" s="14">
        <f>A15*Alternativa2!C20*u_B</f>
        <v>38.459078264714798</v>
      </c>
      <c r="E15" s="14">
        <f>A15*Alternativa2!D20*u_C</f>
        <v>21.130208092307214</v>
      </c>
      <c r="F15">
        <f>A15*Alternativa2!E20*Param!B32</f>
        <v>23.822765205855582</v>
      </c>
      <c r="H15" s="14">
        <f>A15*Alternativa1!B20*u_A</f>
        <v>13.966680549770928</v>
      </c>
      <c r="I15" s="14">
        <f>A15*Alternativa1!C20*u_B</f>
        <v>70.018495380011416</v>
      </c>
      <c r="J15" s="14">
        <f>A15*Alternativa1!D20*u_C</f>
        <v>50.39075282418333</v>
      </c>
      <c r="K15">
        <f>A15*Alternativa1!E20*Param!B32</f>
        <v>33.455075302985897</v>
      </c>
    </row>
    <row r="16" spans="1:12" x14ac:dyDescent="0.25">
      <c r="A16">
        <f t="shared" si="0"/>
        <v>0.78352616646845885</v>
      </c>
      <c r="B16">
        <v>6</v>
      </c>
      <c r="C16" s="14">
        <f>A16*Alternativa2!B21*u_A</f>
        <v>2.9525773236264237</v>
      </c>
      <c r="D16" s="14">
        <f>A16*Alternativa2!C21*u_B</f>
        <v>20.099032810403067</v>
      </c>
      <c r="E16" s="14">
        <f>A16*Alternativa2!D21*u_C</f>
        <v>10.965444782095247</v>
      </c>
      <c r="F16">
        <f>A16*Alternativa2!E21*Param!B32</f>
        <v>23.873480504032582</v>
      </c>
      <c r="H16" s="14">
        <f>A16*Alternativa1!B21*u_A</f>
        <v>5.9857202356161112</v>
      </c>
      <c r="I16" s="14">
        <f>A16*Alternativa1!C21*u_B</f>
        <v>40.536710526992344</v>
      </c>
      <c r="J16" s="14">
        <f>A16*Alternativa1!D21*u_C</f>
        <v>29.593578023658072</v>
      </c>
      <c r="K16">
        <f>A16*Alternativa1!E21*Param!B32</f>
        <v>34.327107997573997</v>
      </c>
    </row>
    <row r="17" spans="1:11" x14ac:dyDescent="0.25">
      <c r="A17">
        <f t="shared" si="0"/>
        <v>0.74621539663662739</v>
      </c>
      <c r="B17">
        <v>7</v>
      </c>
      <c r="C17" s="14">
        <f>A17*Alternativa2!B22*u_A</f>
        <v>1.1247913613814946</v>
      </c>
      <c r="D17" s="14">
        <f>A17*Alternativa2!C22*u_B</f>
        <v>10.251038868832596</v>
      </c>
      <c r="E17" s="14">
        <f>A17*Alternativa2!D22*u_C</f>
        <v>5.5619097428925315</v>
      </c>
      <c r="F17">
        <f>A17*Alternativa2!E22*Param!B32</f>
        <v>23.347870294845201</v>
      </c>
      <c r="H17" s="14">
        <f>A17*Alternativa1!B22*u_A</f>
        <v>2.5653086724069052</v>
      </c>
      <c r="I17" s="14">
        <f>A17*Alternativa1!C22*u_B</f>
        <v>22.887953239718041</v>
      </c>
      <c r="J17" s="14">
        <f>A17*Alternativa1!D22*u_C</f>
        <v>16.899114735525927</v>
      </c>
      <c r="K17">
        <f>A17*Alternativa1!E22*Param!B32</f>
        <v>34.123671062376701</v>
      </c>
    </row>
    <row r="18" spans="1:11" x14ac:dyDescent="0.25">
      <c r="A18">
        <f t="shared" si="0"/>
        <v>0.71068133013012125</v>
      </c>
      <c r="B18">
        <v>8</v>
      </c>
      <c r="C18" s="14">
        <f>A18*Alternativa2!B23*u_A</f>
        <v>0.42849194719295036</v>
      </c>
      <c r="D18" s="14">
        <f>A18*Alternativa2!C23*u_B</f>
        <v>5.1405216952074291</v>
      </c>
      <c r="E18" s="14">
        <f>A18*Alternativa2!D23*u_C</f>
        <v>2.7770409894579395</v>
      </c>
      <c r="F18">
        <f>A18*Alternativa2!E23*Param!B32</f>
        <v>22.544869377634878</v>
      </c>
      <c r="H18" s="14">
        <f>A18*Alternativa1!B23*u_A</f>
        <v>1.0994180024601021</v>
      </c>
      <c r="I18" s="14">
        <f>A18*Alternativa1!C23*u_B</f>
        <v>12.697972831086929</v>
      </c>
      <c r="J18" s="14">
        <f>A18*Alternativa1!D23*u_C</f>
        <v>9.4599268720792971</v>
      </c>
      <c r="K18">
        <f>A18*Alternativa1!E23*Param!B32</f>
        <v>33.30953753577846</v>
      </c>
    </row>
    <row r="19" spans="1:11" x14ac:dyDescent="0.25">
      <c r="A19">
        <f t="shared" si="0"/>
        <v>0.67683936202868689</v>
      </c>
      <c r="B19">
        <v>9</v>
      </c>
      <c r="C19" s="14">
        <f>A19*Alternativa2!B24*u_A</f>
        <v>0.16323502750207633</v>
      </c>
      <c r="D19" s="14">
        <f>A19*Alternativa2!C24*u_B</f>
        <v>2.5465625652648538</v>
      </c>
      <c r="E19" s="14">
        <f>A19*Alternativa2!D24*u_C</f>
        <v>1.3710393761892707</v>
      </c>
      <c r="F19">
        <f>A19*Alternativa2!E24*Param!B32</f>
        <v>21.625080584536075</v>
      </c>
      <c r="H19" s="14">
        <f>A19*Alternativa1!B24*u_A</f>
        <v>0.47117914391147231</v>
      </c>
      <c r="I19" s="14">
        <f>A19*Alternativa1!C24*u_B</f>
        <v>6.9551955064045892</v>
      </c>
      <c r="J19" s="14">
        <f>A19*Alternativa1!D24*u_C</f>
        <v>5.2187714046688916</v>
      </c>
      <c r="K19">
        <f>A19*Alternativa1!E24*Param!B32</f>
        <v>32.17466385545962</v>
      </c>
    </row>
    <row r="20" spans="1:11" x14ac:dyDescent="0.25">
      <c r="A20">
        <f t="shared" si="0"/>
        <v>0.64460891621779703</v>
      </c>
      <c r="B20">
        <v>10</v>
      </c>
      <c r="C20" s="14">
        <f>A20*Alternativa2!B25*u_A</f>
        <v>6.2184772381743372E-2</v>
      </c>
      <c r="D20" s="14">
        <f>A20*Alternativa2!C25*u_B</f>
        <v>1.2502469706429034</v>
      </c>
      <c r="E20" s="14">
        <f>A20*Alternativa2!D25*u_C</f>
        <v>0.67131407059666481</v>
      </c>
      <c r="F20">
        <f>A20*Alternativa2!E25*Param!B32</f>
        <v>20.671095453564604</v>
      </c>
      <c r="H20" s="14">
        <f>A20*Alternativa1!B25*u_A</f>
        <v>0.20193391881920245</v>
      </c>
      <c r="I20" s="14">
        <f>A20*Alternativa1!C25*u_B</f>
        <v>3.7734303909576452</v>
      </c>
      <c r="J20" s="14">
        <f>A20*Alternativa1!D25*u_C</f>
        <v>2.8476001140423248</v>
      </c>
      <c r="K20">
        <f>A20*Alternativa1!E25*Param!B32</f>
        <v>30.890453906737996</v>
      </c>
    </row>
    <row r="21" spans="1:11" x14ac:dyDescent="0.25">
      <c r="A21">
        <f t="shared" si="0"/>
        <v>0.6139132535407591</v>
      </c>
      <c r="B21">
        <v>11</v>
      </c>
      <c r="C21" s="14">
        <f>A21*Alternativa2!B26*u_A</f>
        <v>2.3689437097806996E-2</v>
      </c>
      <c r="D21" s="14">
        <f>A21*Alternativa2!C26*u_B</f>
        <v>0.60967879746446529</v>
      </c>
      <c r="E21" s="14">
        <f>A21*Alternativa2!D26*u_C</f>
        <v>0.32667145458802183</v>
      </c>
      <c r="F21">
        <f>A21*Alternativa2!E26*Param!B32</f>
        <v>19.723813817890193</v>
      </c>
      <c r="H21" s="14">
        <f>A21*Alternativa1!B26*u_A</f>
        <v>8.6543108065372479E-2</v>
      </c>
      <c r="I21" s="14">
        <f>A21*Alternativa1!C26*u_B</f>
        <v>2.03237280967836</v>
      </c>
      <c r="J21" s="14">
        <f>A21*Alternativa1!D26*u_C</f>
        <v>1.5407720764733561</v>
      </c>
      <c r="K21">
        <f>A21*Alternativa1!E26*Param!B32</f>
        <v>29.554323306947563</v>
      </c>
    </row>
    <row r="22" spans="1:11" x14ac:dyDescent="0.25">
      <c r="A22">
        <f t="shared" si="0"/>
        <v>0.58467928908643718</v>
      </c>
      <c r="B22">
        <v>12</v>
      </c>
      <c r="C22" s="14">
        <f>A22*Alternativa2!B27*u_A</f>
        <v>9.0245474658312355E-3</v>
      </c>
      <c r="D22" s="14">
        <f>A22*Alternativa2!C27*u_B</f>
        <v>0.29577965485291519</v>
      </c>
      <c r="E22" s="14">
        <f>A22*Alternativa2!D27*u_C</f>
        <v>0.15821635084924307</v>
      </c>
      <c r="F22">
        <f>A22*Alternativa2!E27*Param!B32</f>
        <v>18.802599284846714</v>
      </c>
      <c r="H22" s="14">
        <f>A22*Alternativa1!B27*u_A</f>
        <v>3.7089903456588205E-2</v>
      </c>
      <c r="I22" s="14">
        <f>A22*Alternativa1!C27*u_B</f>
        <v>1.0884965336963814</v>
      </c>
      <c r="J22" s="14">
        <f>A22*Alternativa1!D27*u_C</f>
        <v>0.82825577428197428</v>
      </c>
      <c r="K22">
        <f>A22*Alternativa1!E27*Param!B32</f>
        <v>28.219756422642469</v>
      </c>
    </row>
    <row r="23" spans="1:11" x14ac:dyDescent="0.25">
      <c r="A23">
        <f t="shared" si="0"/>
        <v>0.55683741817755916</v>
      </c>
      <c r="B23">
        <v>13</v>
      </c>
      <c r="C23" s="14">
        <f>A23*Alternativa2!B28*u_A</f>
        <v>3.4379228441261851E-3</v>
      </c>
      <c r="D23" s="14">
        <f>A23*Alternativa2!C28*u_B</f>
        <v>0.14292609010713087</v>
      </c>
      <c r="E23" s="14">
        <f>A23*Alternativa2!D28*u_C</f>
        <v>7.6351766392536186E-2</v>
      </c>
      <c r="F23">
        <f>A23*Alternativa2!E28*Param!B32</f>
        <v>17.915956147776331</v>
      </c>
      <c r="H23" s="14">
        <f>A23*Alternativa1!B28*u_A</f>
        <v>1.5895672909966369E-2</v>
      </c>
      <c r="I23" s="14">
        <f>A23*Alternativa1!C28*u_B</f>
        <v>0.58041640815039142</v>
      </c>
      <c r="J23" s="14">
        <f>A23*Alternativa1!D28*u_C</f>
        <v>0.44296440250372793</v>
      </c>
      <c r="K23">
        <f>A23*Alternativa1!E28*Param!B32</f>
        <v>26.915008366345866</v>
      </c>
    </row>
    <row r="24" spans="1:11" x14ac:dyDescent="0.25">
      <c r="A24">
        <f t="shared" si="0"/>
        <v>0.5303213506452944</v>
      </c>
      <c r="B24">
        <v>14</v>
      </c>
      <c r="C24" s="14">
        <f>A24*Alternativa2!B29*u_A</f>
        <v>1.3096848930004516E-3</v>
      </c>
      <c r="D24" s="14">
        <f>A24*Alternativa2!C29*u_B</f>
        <v>6.8851904018735255E-2</v>
      </c>
      <c r="E24" s="14">
        <f>A24*Alternativa2!D29*u_C</f>
        <v>3.674238641054333E-2</v>
      </c>
      <c r="F24">
        <f>A24*Alternativa2!E29*Param!B32</f>
        <v>17.067020545898004</v>
      </c>
      <c r="H24" s="14">
        <f>A24*Alternativa1!B29*u_A</f>
        <v>6.8124312471284452E-3</v>
      </c>
      <c r="I24" s="14">
        <f>A24*Alternativa1!C29*u_B</f>
        <v>0.30842116686445037</v>
      </c>
      <c r="J24" s="14">
        <f>A24*Alternativa1!D29*u_C</f>
        <v>0.23594821925134379</v>
      </c>
      <c r="K24">
        <f>A24*Alternativa1!E29*Param!B32</f>
        <v>25.654194468385651</v>
      </c>
    </row>
    <row r="25" spans="1:11" x14ac:dyDescent="0.25">
      <c r="A25">
        <f t="shared" si="0"/>
        <v>0.50506795299551843</v>
      </c>
      <c r="B25">
        <v>15</v>
      </c>
      <c r="C25" s="14">
        <f>A25*Alternativa2!B30*u_A</f>
        <v>4.9892757828588611E-4</v>
      </c>
      <c r="D25" s="14">
        <f>A25*Alternativa2!C30*u_B</f>
        <v>3.3088282336760678E-2</v>
      </c>
      <c r="E25" s="14">
        <f>A25*Alternativa2!D30*u_C</f>
        <v>1.7642640369192789E-2</v>
      </c>
      <c r="F25">
        <f>A25*Alternativa2!E30*Param!B32</f>
        <v>16.256328063587564</v>
      </c>
      <c r="H25" s="14">
        <f>A25*Alternativa1!B30*u_A</f>
        <v>2.9196133916264758E-3</v>
      </c>
      <c r="I25" s="14">
        <f>A25*Alternativa1!C30*u_B</f>
        <v>0.16343688361945671</v>
      </c>
      <c r="J25" s="14">
        <f>A25*Alternativa1!D30*u_C</f>
        <v>0.12527571126627238</v>
      </c>
      <c r="K25">
        <f>A25*Alternativa1!E30*Param!B32</f>
        <v>24.443660554984795</v>
      </c>
    </row>
    <row r="26" spans="1:11" x14ac:dyDescent="0.25">
      <c r="A26">
        <f t="shared" si="0"/>
        <v>0.48101709809096993</v>
      </c>
      <c r="B26">
        <v>16</v>
      </c>
      <c r="C26" s="14">
        <f>A26*Alternativa2!B31*u_A</f>
        <v>1.900676488708138E-4</v>
      </c>
      <c r="D26" s="14">
        <f>A26*Alternativa2!C31*u_B</f>
        <v>1.5871243541489152E-2</v>
      </c>
      <c r="E26" s="14">
        <f>A26*Alternativa2!D31*u_C</f>
        <v>8.4569281921097958E-3</v>
      </c>
      <c r="F26">
        <f>A26*Alternativa2!E31*Param!B32</f>
        <v>15.483188169288466</v>
      </c>
      <c r="H26" s="14">
        <f>A26*Alternativa1!B31*u_A</f>
        <v>1.2512628821256327E-3</v>
      </c>
      <c r="I26" s="14">
        <f>A26*Alternativa1!C31*u_B</f>
        <v>8.6416770069367876E-2</v>
      </c>
      <c r="J26" s="14">
        <f>A26*Alternativa1!D31*u_C</f>
        <v>6.6343603559021067E-2</v>
      </c>
      <c r="K26">
        <f>A26*Alternativa1!E31*Param!B32</f>
        <v>23.285561663418193</v>
      </c>
    </row>
    <row r="27" spans="1:11" x14ac:dyDescent="0.25">
      <c r="A27">
        <f t="shared" si="0"/>
        <v>0.45811152199139993</v>
      </c>
      <c r="B27">
        <v>17</v>
      </c>
      <c r="C27" s="14">
        <f>A27*Alternativa2!B32*u_A</f>
        <v>7.2406723379357646E-5</v>
      </c>
      <c r="D27" s="14">
        <f>A27*Alternativa2!C32*u_B</f>
        <v>7.6015135413651834E-3</v>
      </c>
      <c r="E27" s="14">
        <f>A27*Alternativa2!D32*u_C</f>
        <v>4.0483024818893992E-3</v>
      </c>
      <c r="F27">
        <f>A27*Alternativa2!E32*Param!B32</f>
        <v>14.746358805057122</v>
      </c>
      <c r="H27" s="14">
        <f>A27*Alternativa1!B32*u_A</f>
        <v>5.3625552091098538E-4</v>
      </c>
      <c r="I27" s="14">
        <f>A27*Alternativa1!C32*u_B</f>
        <v>4.5611773131084568E-2</v>
      </c>
      <c r="J27" s="14">
        <f>A27*Alternativa1!D32*u_C</f>
        <v>3.5061722132925612E-2</v>
      </c>
      <c r="K27">
        <f>A27*Alternativa1!E32*Param!B32</f>
        <v>22.179839583453088</v>
      </c>
    </row>
    <row r="28" spans="1:11" x14ac:dyDescent="0.25">
      <c r="A28">
        <f t="shared" si="0"/>
        <v>0.43629668761085705</v>
      </c>
      <c r="B28">
        <v>18</v>
      </c>
      <c r="C28" s="14">
        <f>A28*Alternativa2!B33*u_A</f>
        <v>2.7583513668326722E-5</v>
      </c>
      <c r="D28" s="14">
        <f>A28*Alternativa2!C33*u_B</f>
        <v>3.6364458850723512E-3</v>
      </c>
      <c r="E28" s="14">
        <f>A28*Alternativa2!D33*u_C</f>
        <v>1.9358328844704103E-3</v>
      </c>
      <c r="F28">
        <f>A28*Alternativa2!E33*Param!B32</f>
        <v>14.044373941139547</v>
      </c>
      <c r="H28" s="14">
        <f>A28*Alternativa1!B33*u_A</f>
        <v>2.2982379467613665E-4</v>
      </c>
      <c r="I28" s="14">
        <f>A28*Alternativa1!C33*u_B</f>
        <v>2.4040100857569389E-2</v>
      </c>
      <c r="J28" s="14">
        <f>A28*Alternativa1!D33*u_C</f>
        <v>1.8498806509183164E-2</v>
      </c>
      <c r="K28">
        <f>A28*Alternativa1!E33*Param!B32</f>
        <v>21.125301550876916</v>
      </c>
    </row>
    <row r="29" spans="1:11" x14ac:dyDescent="0.25">
      <c r="A29">
        <f t="shared" si="0"/>
        <v>0.41552065486748291</v>
      </c>
      <c r="B29">
        <v>19</v>
      </c>
      <c r="C29" s="14">
        <f>A29*Alternativa2!B34*u_A</f>
        <v>1.050800520698161E-5</v>
      </c>
      <c r="D29" s="14">
        <f>A29*Alternativa2!C34*u_B</f>
        <v>1.737994243193048E-3</v>
      </c>
      <c r="E29" s="14">
        <f>A29*Alternativa2!D34*u_C</f>
        <v>9.2489823808964225E-4</v>
      </c>
      <c r="F29">
        <f>A29*Alternativa2!E34*Param!B32</f>
        <v>13.375700703668457</v>
      </c>
      <c r="H29" s="14">
        <f>A29*Alternativa1!B34*u_A</f>
        <v>9.8495912004058561E-5</v>
      </c>
      <c r="I29" s="14">
        <f>A29*Alternativa1!C34*u_B</f>
        <v>1.2655956508394036E-2</v>
      </c>
      <c r="J29" s="14">
        <f>A29*Alternativa1!D34*u_C</f>
        <v>9.7469628534814674E-3</v>
      </c>
      <c r="K29">
        <f>A29*Alternativa1!E34*Param!B32</f>
        <v>20.120202193814343</v>
      </c>
    </row>
    <row r="30" spans="1:11" x14ac:dyDescent="0.25">
      <c r="A30">
        <f t="shared" si="0"/>
        <v>0.39573395701665037</v>
      </c>
      <c r="B30">
        <v>20</v>
      </c>
      <c r="C30" s="14">
        <f>A30*Alternativa2!B35*u_A</f>
        <v>4.0030496026596614E-6</v>
      </c>
      <c r="D30" s="14">
        <f>A30*Alternativa2!C35*u_B</f>
        <v>8.3003662839270748E-4</v>
      </c>
      <c r="E30" s="14">
        <f>A30*Alternativa2!D35*u_C</f>
        <v>4.4159809041771999E-4</v>
      </c>
      <c r="F30">
        <f>A30*Alternativa2!E35*Param!B32</f>
        <v>12.738813439556239</v>
      </c>
      <c r="H30" s="14">
        <f>A30*Alternativa1!B35*u_A</f>
        <v>4.2212533716025092E-5</v>
      </c>
      <c r="I30" s="14">
        <f>A30*Alternativa1!C35*u_B</f>
        <v>6.6565345773835051E-3</v>
      </c>
      <c r="J30" s="14">
        <f>A30*Alternativa1!D35*u_C</f>
        <v>5.1300453800810913E-3</v>
      </c>
      <c r="K30">
        <f>A30*Alternativa1!E35*Param!B32</f>
        <v>19.162554167236493</v>
      </c>
    </row>
    <row r="31" spans="1:11" x14ac:dyDescent="0.25">
      <c r="A31">
        <f t="shared" si="0"/>
        <v>0.37688948287300034</v>
      </c>
      <c r="B31">
        <v>21</v>
      </c>
      <c r="C31" s="14">
        <f>A31*Alternativa2!B36*u_A</f>
        <v>1.5249712772036804E-6</v>
      </c>
      <c r="D31" s="14">
        <f>A31*Alternativa2!C36*u_B</f>
        <v>3.9617756480045255E-4</v>
      </c>
      <c r="E31" s="14">
        <f>A31*Alternativa2!D36*u_C</f>
        <v>2.1073056144574429E-4</v>
      </c>
      <c r="F31">
        <f>A31*Alternativa2!E36*Param!B32</f>
        <v>12.132227559002516</v>
      </c>
      <c r="H31" s="14">
        <f>A31*Alternativa1!B36*u_A</f>
        <v>1.8091085878296468E-5</v>
      </c>
      <c r="I31" s="14">
        <f>A31*Alternativa1!C36*u_B</f>
        <v>3.4984236466441328E-3</v>
      </c>
      <c r="J31" s="14">
        <f>A31*Alternativa1!D36*u_C</f>
        <v>2.6976694406506863E-3</v>
      </c>
      <c r="K31">
        <f>A31*Alternativa1!E36*Param!B32</f>
        <v>18.250291955358193</v>
      </c>
    </row>
    <row r="32" spans="1:11" x14ac:dyDescent="0.25">
      <c r="A32">
        <f t="shared" si="0"/>
        <v>0.35894236464095269</v>
      </c>
      <c r="B32">
        <v>22</v>
      </c>
      <c r="C32" s="14">
        <f>A32*Alternativa2!B37*u_A</f>
        <v>5.8094143893473536E-7</v>
      </c>
      <c r="D32" s="14">
        <f>A32*Alternativa2!C37*u_B</f>
        <v>1.8900723179853622E-4</v>
      </c>
      <c r="E32" s="14">
        <f>A32*Alternativa2!D37*u_C</f>
        <v>1.005176714885679E-4</v>
      </c>
      <c r="F32">
        <f>A32*Alternativa2!E37*Param!B32</f>
        <v>11.554514024199214</v>
      </c>
      <c r="H32" s="14">
        <f>A32*Alternativa1!B37*u_A</f>
        <v>7.7533225192699155E-6</v>
      </c>
      <c r="I32" s="14">
        <f>A32*Alternativa1!C37*u_B</f>
        <v>1.8375079556226051E-3</v>
      </c>
      <c r="J32" s="14">
        <f>A32*Alternativa1!D37*u_C</f>
        <v>1.4175680298740285E-3</v>
      </c>
      <c r="K32">
        <f>A32*Alternativa1!E37*Param!B32</f>
        <v>17.381356799487602</v>
      </c>
    </row>
    <row r="33" spans="1:11" x14ac:dyDescent="0.25">
      <c r="A33">
        <f t="shared" si="0"/>
        <v>0.34184987108662163</v>
      </c>
      <c r="B33">
        <v>23</v>
      </c>
      <c r="C33" s="14">
        <f>A33*Alternativa2!B38*u_A</f>
        <v>2.2131102435608968E-7</v>
      </c>
      <c r="D33" s="14">
        <f>A33*Alternativa2!C38*u_B</f>
        <v>9.0137252688912689E-5</v>
      </c>
      <c r="E33" s="14">
        <f>A33*Alternativa2!D38*u_C</f>
        <v>4.7930230196275761E-5</v>
      </c>
      <c r="F33">
        <f>A33*Alternativa2!E38*Param!B32</f>
        <v>11.004304597303747</v>
      </c>
      <c r="H33" s="14">
        <f>A33*Alternativa1!B38*u_A</f>
        <v>3.3228525082585353E-6</v>
      </c>
      <c r="I33" s="14">
        <f>A33*Alternativa1!C38*u_B</f>
        <v>9.6464716631230161E-4</v>
      </c>
      <c r="J33" s="14">
        <f>A33*Alternativa1!D38*u_C</f>
        <v>7.4446615457083047E-4</v>
      </c>
      <c r="K33">
        <f>A33*Alternativa1!E38*Param!B32</f>
        <v>16.55373953078962</v>
      </c>
    </row>
    <row r="34" spans="1:11" x14ac:dyDescent="0.25">
      <c r="A34">
        <f t="shared" si="0"/>
        <v>0.32557130579678251</v>
      </c>
      <c r="B34">
        <v>24</v>
      </c>
      <c r="C34" s="14">
        <f>A34*Alternativa2!B39*u_A</f>
        <v>8.430896165946275E-8</v>
      </c>
      <c r="D34" s="14">
        <f>A34*Alternativa2!C39*u_B</f>
        <v>4.297347612817709E-5</v>
      </c>
      <c r="E34" s="14">
        <f>A34*Alternativa2!D39*u_C</f>
        <v>2.2848554028125886E-5</v>
      </c>
      <c r="F34">
        <f>A34*Alternativa2!E39*Param!B32</f>
        <v>10.480292727828251</v>
      </c>
      <c r="H34" s="14">
        <f>A34*Alternativa1!B39*u_A</f>
        <v>1.4240796463965149E-6</v>
      </c>
      <c r="I34" s="14">
        <f>A34*Alternativa1!C39*u_B</f>
        <v>5.0620980100800177E-4</v>
      </c>
      <c r="J34" s="14">
        <f>A34*Alternativa1!D39*u_C</f>
        <v>3.9078603637923058E-4</v>
      </c>
      <c r="K34">
        <f>A34*Alternativa1!E39*Param!B32</f>
        <v>15.765501079058209</v>
      </c>
    </row>
    <row r="35" spans="1:11" x14ac:dyDescent="0.25">
      <c r="A35">
        <f t="shared" si="0"/>
        <v>0.31006791028265002</v>
      </c>
      <c r="B35">
        <v>25</v>
      </c>
      <c r="C35" s="14">
        <f>A35*Alternativa2!B40*u_A</f>
        <v>3.2117699679795335E-8</v>
      </c>
      <c r="D35" s="14">
        <f>A35*Alternativa2!C40*u_B</f>
        <v>2.0482979050652892E-5</v>
      </c>
      <c r="E35" s="14">
        <f>A35*Alternativa2!D40*u_C</f>
        <v>1.0889647914188562E-5</v>
      </c>
      <c r="F35">
        <f>A35*Alternativa2!E40*Param!B32</f>
        <v>9.9812324255023608</v>
      </c>
      <c r="H35" s="14">
        <f>A35*Alternativa1!B40*u_A</f>
        <v>6.1031984845564931E-7</v>
      </c>
      <c r="I35" s="14">
        <f>A35*Alternativa1!C40*u_B</f>
        <v>2.6555112688989317E-4</v>
      </c>
      <c r="J35" s="14">
        <f>A35*Alternativa1!D40*u_C</f>
        <v>2.0505219199645853E-4</v>
      </c>
      <c r="K35">
        <f>A35*Alternativa1!E40*Param!B32</f>
        <v>15.014781228216323</v>
      </c>
    </row>
    <row r="36" spans="1:11" x14ac:dyDescent="0.25">
      <c r="A36">
        <f t="shared" si="0"/>
        <v>0.29530277169776192</v>
      </c>
      <c r="B36">
        <v>26</v>
      </c>
      <c r="C36" s="14">
        <f>A36*Alternativa2!B41*u_A</f>
        <v>1.2235314163731557E-8</v>
      </c>
      <c r="D36" s="14">
        <f>A36*Alternativa2!C41*u_B</f>
        <v>9.7611972582599229E-6</v>
      </c>
      <c r="E36" s="14">
        <f>A36*Alternativa2!D41*u_C</f>
        <v>5.1891213384022349E-6</v>
      </c>
      <c r="F36">
        <f>A36*Alternativa2!E41*Param!B32</f>
        <v>9.5059362419956113</v>
      </c>
      <c r="H36" s="14">
        <f>A36*Alternativa1!B41*u_A</f>
        <v>2.6156564933813542E-7</v>
      </c>
      <c r="I36" s="14">
        <f>A36*Alternativa1!C41*u_B</f>
        <v>1.3926690021306791E-4</v>
      </c>
      <c r="J36" s="14">
        <f>A36*Alternativa1!D41*u_C</f>
        <v>1.0756034754692353E-4</v>
      </c>
      <c r="K36">
        <f>A36*Alternativa1!E41*Param!B32</f>
        <v>14.299801244927787</v>
      </c>
    </row>
    <row r="37" spans="1:11" x14ac:dyDescent="0.25">
      <c r="A37">
        <f t="shared" si="0"/>
        <v>0.28124073495024943</v>
      </c>
      <c r="B37">
        <v>27</v>
      </c>
      <c r="C37" s="14">
        <f>A37*Alternativa2!B42*u_A</f>
        <v>4.6610720623739265E-9</v>
      </c>
      <c r="D37" s="14">
        <f>A37*Alternativa2!C42*u_B</f>
        <v>4.6510073459637616E-6</v>
      </c>
      <c r="E37" s="14">
        <f>A37*Alternativa2!D42*u_C</f>
        <v>2.4723719051866148E-6</v>
      </c>
      <c r="F37">
        <f>A37*Alternativa2!E42*Param!B32</f>
        <v>9.0532728966899665</v>
      </c>
      <c r="H37" s="14">
        <f>A37*Alternativa1!B42*u_A</f>
        <v>1.1209956400205804E-7</v>
      </c>
      <c r="I37" s="14">
        <f>A37*Alternativa1!C42*u_B</f>
        <v>7.3021624778660073E-5</v>
      </c>
      <c r="J37" s="14">
        <f>A37*Alternativa1!D42*u_C</f>
        <v>5.6406309234618267E-5</v>
      </c>
      <c r="K37">
        <f>A37*Alternativa1!E42*Param!B32</f>
        <v>13.618863363199637</v>
      </c>
    </row>
    <row r="38" spans="1:11" x14ac:dyDescent="0.25">
      <c r="A38">
        <f t="shared" si="0"/>
        <v>0.26784831900023753</v>
      </c>
      <c r="B38">
        <v>28</v>
      </c>
      <c r="C38" s="14">
        <f>A38*Alternativa2!B43*u_A</f>
        <v>1.7756464999519719E-9</v>
      </c>
      <c r="D38" s="14">
        <f>A38*Alternativa2!C43*u_B</f>
        <v>2.2158389934546673E-6</v>
      </c>
      <c r="E38" s="14">
        <f>A38*Alternativa2!D43*u_C</f>
        <v>1.1778386998481392E-6</v>
      </c>
      <c r="F38">
        <f>A38*Alternativa2!E43*Param!B32</f>
        <v>8.6221647994271446</v>
      </c>
      <c r="H38" s="14">
        <f>A38*Alternativa1!B43*u_A</f>
        <v>4.8042670286596294E-8</v>
      </c>
      <c r="I38" s="14">
        <f>A38*Alternativa1!C43*u_B</f>
        <v>3.8280406544089598E-5</v>
      </c>
      <c r="J38" s="14">
        <f>A38*Alternativa1!D43*u_C</f>
        <v>2.9574096617226686E-5</v>
      </c>
      <c r="K38">
        <f>A38*Alternativa1!E43*Param!B32</f>
        <v>12.970348700260743</v>
      </c>
    </row>
    <row r="39" spans="1:11" x14ac:dyDescent="0.25">
      <c r="A39">
        <f t="shared" si="0"/>
        <v>0.25509363714308336</v>
      </c>
      <c r="B39">
        <v>29</v>
      </c>
      <c r="C39" s="14">
        <f>A39*Alternativa2!B44*u_A</f>
        <v>6.7643676188646556E-10</v>
      </c>
      <c r="D39" s="14">
        <f>A39*Alternativa2!C44*u_B</f>
        <v>1.0555704123554723E-6</v>
      </c>
      <c r="E39" s="14">
        <f>A39*Alternativa2!D44*u_C</f>
        <v>5.6107318431584328E-7</v>
      </c>
      <c r="F39">
        <f>A39*Alternativa2!E44*Param!B32</f>
        <v>8.211585588011852</v>
      </c>
      <c r="H39" s="14">
        <f>A39*Alternativa1!B44*u_A</f>
        <v>2.0589715837112699E-8</v>
      </c>
      <c r="I39" s="14">
        <f>A39*Alternativa1!C44*u_B</f>
        <v>2.0064920397801095E-5</v>
      </c>
      <c r="J39" s="14">
        <f>A39*Alternativa1!D44*u_C</f>
        <v>1.5503166312794202E-5</v>
      </c>
      <c r="K39">
        <f>A39*Alternativa1!E44*Param!B32</f>
        <v>12.352714431982351</v>
      </c>
    </row>
    <row r="40" spans="1:11" x14ac:dyDescent="0.25">
      <c r="A40">
        <f t="shared" si="0"/>
        <v>0.2429463210886508</v>
      </c>
      <c r="B40">
        <v>30</v>
      </c>
      <c r="C40" s="14">
        <f>A40*Alternativa2!B45*u_A</f>
        <v>2.5769019500436778E-10</v>
      </c>
      <c r="D40" s="14">
        <f>A40*Alternativa2!C45*u_B</f>
        <v>5.0280838184579394E-7</v>
      </c>
      <c r="E40" s="14">
        <f>A40*Alternativa2!D45*u_C</f>
        <v>2.6725298674959562E-7</v>
      </c>
      <c r="F40">
        <f>A40*Alternativa2!E45*Param!B32</f>
        <v>7.8205577337112349</v>
      </c>
      <c r="H40" s="14">
        <f>A40*Alternativa1!B45*u_A</f>
        <v>8.8241639301911554E-9</v>
      </c>
      <c r="I40" s="14">
        <f>A40*Alternativa1!C45*u_B</f>
        <v>1.0515887345150999E-5</v>
      </c>
      <c r="J40" s="14">
        <f>A40*Alternativa1!D45*u_C</f>
        <v>8.1258376702483812E-6</v>
      </c>
      <c r="K40">
        <f>A40*Alternativa1!E45*Param!B32</f>
        <v>11.764490660757149</v>
      </c>
    </row>
    <row r="41" spans="1:11" x14ac:dyDescent="0.25">
      <c r="A41">
        <f t="shared" si="0"/>
        <v>0.23137744865585791</v>
      </c>
      <c r="B41">
        <v>31</v>
      </c>
      <c r="C41" s="14">
        <f>A41*Alternativa2!B46*u_A</f>
        <v>9.8167693334997267E-11</v>
      </c>
      <c r="D41" s="14">
        <f>A41*Alternativa2!C46*u_B</f>
        <v>2.3949191689177402E-7</v>
      </c>
      <c r="E41" s="14">
        <f>A41*Alternativa2!D46*u_C</f>
        <v>1.2729200475174154E-7</v>
      </c>
      <c r="F41">
        <f>A41*Alternativa2!E46*Param!B32</f>
        <v>7.4481502372731674</v>
      </c>
      <c r="H41" s="14">
        <f>A41*Alternativa1!B46*u_A</f>
        <v>3.781784541510496E-9</v>
      </c>
      <c r="I41" s="14">
        <f>A41*Alternativa1!C46*u_B</f>
        <v>5.5107609196850591E-6</v>
      </c>
      <c r="J41" s="14">
        <f>A41*Alternativa1!D46*u_C</f>
        <v>4.2585904731099744E-6</v>
      </c>
      <c r="K41">
        <f>A41*Alternativa1!E46*Param!B32</f>
        <v>11.204277200035573</v>
      </c>
    </row>
    <row r="42" spans="1:11" x14ac:dyDescent="0.25">
      <c r="A42">
        <f t="shared" si="0"/>
        <v>0.22035947491034086</v>
      </c>
      <c r="B42">
        <v>32</v>
      </c>
      <c r="C42" s="14">
        <f>A42*Alternativa2!B47*u_A</f>
        <v>3.7397216508570386E-11</v>
      </c>
      <c r="D42" s="14">
        <f>A42*Alternativa2!C47*u_B</f>
        <v>1.1406638103724959E-7</v>
      </c>
      <c r="E42" s="14">
        <f>A42*Alternativa2!D47*u_C</f>
        <v>6.0626165109235876E-8</v>
      </c>
      <c r="F42">
        <f>A42*Alternativa2!E47*Param!B32</f>
        <v>7.0934764234478864</v>
      </c>
      <c r="H42" s="14">
        <f>A42*Alternativa1!B47*u_A</f>
        <v>1.6207648035044981E-9</v>
      </c>
      <c r="I42" s="14">
        <f>A42*Alternativa1!C47*u_B</f>
        <v>2.8876343290198998E-6</v>
      </c>
      <c r="J42" s="14">
        <f>A42*Alternativa1!D47*u_C</f>
        <v>2.2316328421455811E-6</v>
      </c>
      <c r="K42">
        <f>A42*Alternativa1!E47*Param!B32</f>
        <v>10.670740389793592</v>
      </c>
    </row>
    <row r="43" spans="1:11" x14ac:dyDescent="0.25">
      <c r="A43">
        <f t="shared" si="0"/>
        <v>0.20986616658127699</v>
      </c>
      <c r="B43">
        <v>33</v>
      </c>
      <c r="C43" s="14">
        <f>A43*Alternativa2!B48*u_A</f>
        <v>1.4246558669931574E-11</v>
      </c>
      <c r="D43" s="14">
        <f>A43*Alternativa2!C48*u_B</f>
        <v>5.4325938051561033E-8</v>
      </c>
      <c r="E43" s="14">
        <f>A43*Alternativa2!D48*u_C</f>
        <v>2.8873764215104505E-8</v>
      </c>
      <c r="F43">
        <f>A43*Alternativa2!E48*Param!B32</f>
        <v>6.7556918351877329</v>
      </c>
      <c r="H43" s="14">
        <f>A43*Alternativa1!B48*u_A</f>
        <v>6.9461348721621338E-10</v>
      </c>
      <c r="I43" s="14">
        <f>A43*Alternativa1!C48*u_B</f>
        <v>1.5130183381848912E-6</v>
      </c>
      <c r="J43" s="14">
        <f>A43*Alternativa1!D48*u_C</f>
        <v>1.1693545159670228E-6</v>
      </c>
      <c r="K43">
        <f>A43*Alternativa1!E48*Param!B32</f>
        <v>10.162609999469316</v>
      </c>
    </row>
    <row r="44" spans="1:11" x14ac:dyDescent="0.25">
      <c r="A44">
        <f t="shared" si="0"/>
        <v>0.19987253960121618</v>
      </c>
      <c r="B44">
        <v>34</v>
      </c>
      <c r="C44" s="14">
        <f>A44*Alternativa2!B49*u_A</f>
        <v>5.4272604456882188E-12</v>
      </c>
      <c r="D44" s="14">
        <f>A44*Alternativa2!C49*u_B</f>
        <v>2.5872775738118153E-8</v>
      </c>
      <c r="E44" s="14">
        <f>A44*Alternativa2!D49*u_C</f>
        <v>1.3750996963852587E-8</v>
      </c>
      <c r="F44">
        <f>A44*Alternativa2!E49*Param!B32</f>
        <v>6.4339922255754916</v>
      </c>
      <c r="H44" s="14">
        <f>A44*Alternativa1!B49*u_A</f>
        <v>2.976914945212343E-10</v>
      </c>
      <c r="I44" s="14">
        <f>A44*Alternativa1!C49*u_B</f>
        <v>7.9272540468182371E-7</v>
      </c>
      <c r="J44" s="14">
        <f>A44*Alternativa1!D49*u_C</f>
        <v>6.1269216982570788E-7</v>
      </c>
      <c r="K44">
        <f>A44*Alternativa1!E49*Param!B32</f>
        <v>9.6786762446887078</v>
      </c>
    </row>
    <row r="45" spans="1:11" x14ac:dyDescent="0.25">
      <c r="A45">
        <f t="shared" si="0"/>
        <v>0.19035479962020588</v>
      </c>
      <c r="B45">
        <v>35</v>
      </c>
      <c r="C45" s="14">
        <f>A45*Alternativa2!B50*u_A</f>
        <v>2.0675277888336075E-12</v>
      </c>
      <c r="D45" s="14">
        <f>A45*Alternativa2!C50*u_B</f>
        <v>1.232161946685664E-8</v>
      </c>
      <c r="E45" s="14">
        <f>A45*Alternativa2!D50*u_C</f>
        <v>6.5486977644548572E-9</v>
      </c>
      <c r="F45">
        <f>A45*Alternativa2!E50*Param!B32</f>
        <v>6.127611644161111</v>
      </c>
      <c r="H45" s="14">
        <f>A45*Alternativa1!B50*u_A</f>
        <v>1.2758206908052899E-10</v>
      </c>
      <c r="I45" s="14">
        <f>A45*Alternativa1!C50*u_B</f>
        <v>4.1531939792757771E-7</v>
      </c>
      <c r="J45" s="14">
        <f>A45*Alternativa1!D50*u_C</f>
        <v>3.2100819674798669E-7</v>
      </c>
      <c r="K45">
        <f>A45*Alternativa1!E50*Param!B32</f>
        <v>9.2177869283728722</v>
      </c>
    </row>
  </sheetData>
  <mergeCells count="4">
    <mergeCell ref="H9:K9"/>
    <mergeCell ref="C9:F9"/>
    <mergeCell ref="C1:F1"/>
    <mergeCell ref="H1:K1"/>
  </mergeCells>
  <phoneticPr fontId="3" type="noConversion"/>
  <pageMargins left="0.75" right="0.75" top="1" bottom="1" header="0" footer="0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M45"/>
  <sheetViews>
    <sheetView tabSelected="1" workbookViewId="0">
      <selection activeCell="M6" sqref="M6"/>
    </sheetView>
  </sheetViews>
  <sheetFormatPr baseColWidth="10" defaultRowHeight="13.2" x14ac:dyDescent="0.25"/>
  <cols>
    <col min="2" max="2" width="10.44140625" bestFit="1" customWidth="1"/>
    <col min="3" max="3" width="10.21875" style="1" customWidth="1"/>
    <col min="4" max="4" width="12.5546875" style="1" bestFit="1" customWidth="1"/>
    <col min="5" max="5" width="12.5546875" style="1" customWidth="1"/>
    <col min="6" max="6" width="11.44140625" style="1" customWidth="1"/>
    <col min="7" max="7" width="9.21875" style="1" bestFit="1" customWidth="1"/>
    <col min="8" max="8" width="9.21875" style="1" customWidth="1"/>
    <col min="9" max="12" width="11.44140625" style="1" customWidth="1"/>
  </cols>
  <sheetData>
    <row r="1" spans="1:13" x14ac:dyDescent="0.25">
      <c r="C1" s="7" t="s">
        <v>8</v>
      </c>
      <c r="D1" s="8"/>
      <c r="E1" s="8"/>
      <c r="F1" s="9"/>
      <c r="I1" s="19" t="s">
        <v>6</v>
      </c>
      <c r="J1" s="20"/>
      <c r="K1" s="20"/>
      <c r="L1" s="21"/>
    </row>
    <row r="2" spans="1:13" x14ac:dyDescent="0.25">
      <c r="F2" s="10"/>
      <c r="L2" s="10"/>
    </row>
    <row r="3" spans="1:13" x14ac:dyDescent="0.25">
      <c r="C3" s="15" t="s">
        <v>47</v>
      </c>
      <c r="D3" s="15" t="s">
        <v>48</v>
      </c>
      <c r="E3" s="15" t="s">
        <v>49</v>
      </c>
      <c r="F3" s="16" t="s">
        <v>50</v>
      </c>
      <c r="I3" s="15" t="s">
        <v>47</v>
      </c>
      <c r="J3" s="15" t="s">
        <v>48</v>
      </c>
      <c r="K3" s="15" t="s">
        <v>49</v>
      </c>
      <c r="L3" s="16" t="s">
        <v>50</v>
      </c>
    </row>
    <row r="4" spans="1:13" x14ac:dyDescent="0.25">
      <c r="A4" s="3" t="s">
        <v>9</v>
      </c>
      <c r="B4" s="3" t="s">
        <v>10</v>
      </c>
      <c r="C4" s="1">
        <v>10</v>
      </c>
      <c r="D4" s="1">
        <v>594</v>
      </c>
      <c r="E4" s="1">
        <v>16094</v>
      </c>
      <c r="F4" s="1">
        <v>16071</v>
      </c>
      <c r="I4" s="1">
        <v>16141</v>
      </c>
      <c r="J4" s="1">
        <v>16141</v>
      </c>
      <c r="K4" s="1">
        <v>16141</v>
      </c>
      <c r="L4" s="1">
        <v>16141</v>
      </c>
    </row>
    <row r="5" spans="1:13" x14ac:dyDescent="0.25">
      <c r="B5" s="3" t="s">
        <v>11</v>
      </c>
      <c r="C5" s="1">
        <v>0</v>
      </c>
      <c r="D5" s="1">
        <v>0</v>
      </c>
      <c r="E5" s="1">
        <v>0</v>
      </c>
      <c r="F5" s="1">
        <v>0</v>
      </c>
      <c r="I5" s="1">
        <v>0</v>
      </c>
      <c r="J5" s="1">
        <v>0</v>
      </c>
      <c r="K5" s="1">
        <v>0</v>
      </c>
      <c r="L5" s="1">
        <v>0</v>
      </c>
    </row>
    <row r="6" spans="1:13" x14ac:dyDescent="0.25">
      <c r="B6" s="3" t="s">
        <v>7</v>
      </c>
      <c r="C6" s="1">
        <f>SUM(C11:C45)</f>
        <v>6461.5384615384464</v>
      </c>
      <c r="D6" s="1">
        <f>SUM(D11:D45)</f>
        <v>457961.53845406149</v>
      </c>
      <c r="E6" s="1">
        <f>SUM(E11:E45)</f>
        <v>7279439.9998885738</v>
      </c>
      <c r="F6" s="1">
        <f>SUM(F11:F45)</f>
        <v>30256891.01962224</v>
      </c>
      <c r="G6" s="1">
        <f>SUM(C6:F6)/Alternativa2!B11</f>
        <v>38000.754096426412</v>
      </c>
      <c r="I6" s="1">
        <f>SUM(I11:I45)</f>
        <v>12711037.499998322</v>
      </c>
      <c r="J6" s="1">
        <f>SUM(J11:J45)</f>
        <v>17795452.491712213</v>
      </c>
      <c r="K6" s="1">
        <f>SUM(K11:K45)</f>
        <v>12541556.993370442</v>
      </c>
      <c r="L6" s="1">
        <f>SUM(L11:L45)</f>
        <v>44568359.146496356</v>
      </c>
      <c r="M6" s="1">
        <f>SUM(I6:L6)/1000</f>
        <v>87616.406131577343</v>
      </c>
    </row>
    <row r="8" spans="1:13" x14ac:dyDescent="0.25">
      <c r="A8" s="3"/>
    </row>
    <row r="10" spans="1:13" x14ac:dyDescent="0.25">
      <c r="A10" s="5" t="s">
        <v>4</v>
      </c>
      <c r="B10" s="5" t="s">
        <v>5</v>
      </c>
      <c r="C10" s="15" t="s">
        <v>47</v>
      </c>
      <c r="D10" s="15" t="s">
        <v>48</v>
      </c>
      <c r="E10" s="15" t="s">
        <v>49</v>
      </c>
      <c r="F10" s="16" t="s">
        <v>50</v>
      </c>
      <c r="G10" s="11"/>
      <c r="H10" s="11"/>
      <c r="I10" s="15" t="s">
        <v>47</v>
      </c>
      <c r="J10" s="15" t="s">
        <v>48</v>
      </c>
      <c r="K10" s="15" t="s">
        <v>49</v>
      </c>
      <c r="L10" s="16" t="s">
        <v>50</v>
      </c>
    </row>
    <row r="11" spans="1:13" x14ac:dyDescent="0.25">
      <c r="A11">
        <v>1</v>
      </c>
      <c r="B11">
        <v>1</v>
      </c>
      <c r="C11" s="1">
        <f>A11*Alternativa2!B16*c_A</f>
        <v>4000</v>
      </c>
      <c r="D11" s="1">
        <f>A11*Alternativa2!C16*c_B</f>
        <v>148500</v>
      </c>
      <c r="E11" s="1">
        <f>A11*Alternativa2!D16*Param!B25</f>
        <v>2414100</v>
      </c>
      <c r="F11" s="1">
        <f>A11*Alternativa2!E16*Param!B26</f>
        <v>321420</v>
      </c>
      <c r="I11" s="1">
        <f>A11*Alternativa1!B16*Param!B27</f>
        <v>7263450</v>
      </c>
      <c r="J11" s="1">
        <f>A11*Alternativa1!C16*Param!B27</f>
        <v>4842300</v>
      </c>
      <c r="K11" s="1">
        <f>A11*Alternativa1!D16*Param!B27</f>
        <v>3228200</v>
      </c>
      <c r="L11" s="1">
        <f>A11*Alternativa1!E16*Param!B27</f>
        <v>403525</v>
      </c>
    </row>
    <row r="12" spans="1:13" x14ac:dyDescent="0.25">
      <c r="A12">
        <f t="shared" ref="A12:A45" si="0">A11/(1+Descuento)</f>
        <v>0.95238095238095233</v>
      </c>
      <c r="B12">
        <v>2</v>
      </c>
      <c r="C12" s="1">
        <f>A12*Alternativa2!B17*c_A</f>
        <v>1523.8095238095239</v>
      </c>
      <c r="D12" s="1">
        <f>A12*Alternativa2!C17*c_B</f>
        <v>127285.71428571428</v>
      </c>
      <c r="E12" s="1">
        <f>A12*Alternativa2!D17*Param!B25</f>
        <v>2030909.5238095238</v>
      </c>
      <c r="F12" s="1">
        <f>A12*Alternativa2!E17*Param!B26</f>
        <v>849467.14285714284</v>
      </c>
      <c r="I12" s="1">
        <f>A12*Alternativa1!B17*Param!B27</f>
        <v>3112907.1428571423</v>
      </c>
      <c r="J12" s="1">
        <f>A12*Alternativa1!C17*Param!B27</f>
        <v>4611714.2857142854</v>
      </c>
      <c r="K12" s="1">
        <f>A12*Alternativa1!D17*Param!B27</f>
        <v>3197455.2380952379</v>
      </c>
      <c r="L12" s="1">
        <f>A12*Alternativa1!E17*Param!B27</f>
        <v>1064537.3809523808</v>
      </c>
    </row>
    <row r="13" spans="1:13" x14ac:dyDescent="0.25">
      <c r="A13">
        <f t="shared" si="0"/>
        <v>0.90702947845804982</v>
      </c>
      <c r="B13">
        <v>3</v>
      </c>
      <c r="C13" s="1">
        <f>A13*Alternativa2!B18*c_A</f>
        <v>580.49886621315193</v>
      </c>
      <c r="D13" s="1">
        <f>A13*Alternativa2!C18*c_B</f>
        <v>82163.265306122441</v>
      </c>
      <c r="E13" s="1">
        <f>A13*Alternativa2!D18*Param!B25</f>
        <v>1291899.3197278911</v>
      </c>
      <c r="F13" s="1">
        <f>A13*Alternativa2!E18*Param!B26</f>
        <v>1212795.6462585032</v>
      </c>
      <c r="I13" s="1">
        <f>A13*Alternativa1!B18*Param!B27</f>
        <v>1334103.0612244897</v>
      </c>
      <c r="J13" s="1">
        <f>A13*Alternativa1!C18*Param!B27</f>
        <v>3305061.9047619049</v>
      </c>
      <c r="K13" s="1">
        <f>A13*Alternativa1!D18*Param!B27</f>
        <v>2361490.5215419498</v>
      </c>
      <c r="L13" s="1">
        <f>A13*Alternativa1!E18*Param!B27</f>
        <v>1588662.3696145122</v>
      </c>
    </row>
    <row r="14" spans="1:13" x14ac:dyDescent="0.25">
      <c r="A14">
        <f t="shared" si="0"/>
        <v>0.86383759853147601</v>
      </c>
      <c r="B14">
        <v>4</v>
      </c>
      <c r="C14" s="1">
        <f>A14*Alternativa2!B19*c_A</f>
        <v>221.14242522405789</v>
      </c>
      <c r="D14" s="1">
        <f>A14*Alternativa2!C19*c_B</f>
        <v>47335.276967930025</v>
      </c>
      <c r="E14" s="1">
        <f>A14*Alternativa2!D19*Param!B25</f>
        <v>735795.22729726799</v>
      </c>
      <c r="F14" s="1">
        <f>A14*Alternativa2!E19*Param!B26</f>
        <v>1401531.4156138645</v>
      </c>
      <c r="I14" s="1">
        <f>A14*Alternativa1!B19*Param!B27</f>
        <v>571758.4548104956</v>
      </c>
      <c r="J14" s="1">
        <f>A14*Alternativa1!C19*Param!B27</f>
        <v>2112395.2057013279</v>
      </c>
      <c r="K14" s="1">
        <f>A14*Alternativa1!D19*Param!B27</f>
        <v>1544906.8567109383</v>
      </c>
      <c r="L14" s="1">
        <f>A14*Alternativa1!E19*Param!B27</f>
        <v>1913608.7080228913</v>
      </c>
    </row>
    <row r="15" spans="1:13" x14ac:dyDescent="0.25">
      <c r="A15">
        <f t="shared" si="0"/>
        <v>0.82270247479188185</v>
      </c>
      <c r="B15">
        <v>5</v>
      </c>
      <c r="C15" s="1">
        <f>A15*Alternativa2!B20*c_A</f>
        <v>84.244733418688725</v>
      </c>
      <c r="D15" s="1">
        <f>A15*Alternativa2!C20*c_B</f>
        <v>25668.193808135497</v>
      </c>
      <c r="E15" s="1">
        <f>A15*Alternativa2!D20*Param!B25</f>
        <v>395429.73143906082</v>
      </c>
      <c r="F15" s="1">
        <f>A15*Alternativa2!E20*Param!B26</f>
        <v>1472521.7677819424</v>
      </c>
      <c r="I15" s="1">
        <f>A15*Alternativa1!B20*Param!B27</f>
        <v>245039.33777592666</v>
      </c>
      <c r="J15" s="1">
        <f>A15*Alternativa1!C20*Param!B27</f>
        <v>1269852.2853132181</v>
      </c>
      <c r="K15" s="1">
        <f>A15*Alternativa1!D20*Param!B27</f>
        <v>945764.11783156183</v>
      </c>
      <c r="L15" s="1">
        <f>A15*Alternativa1!E20*Param!B27</f>
        <v>2076916.8094826741</v>
      </c>
    </row>
    <row r="16" spans="1:13" x14ac:dyDescent="0.25">
      <c r="A16">
        <f t="shared" si="0"/>
        <v>0.78352616646845885</v>
      </c>
      <c r="B16">
        <v>6</v>
      </c>
      <c r="C16" s="1">
        <f>A16*Alternativa2!B21*c_A</f>
        <v>32.093231778548081</v>
      </c>
      <c r="D16" s="1">
        <f>A16*Alternativa2!C21*c_B</f>
        <v>13414.410662224069</v>
      </c>
      <c r="E16" s="1">
        <f>A16*Alternativa2!D21*Param!B25</f>
        <v>205206.82363144291</v>
      </c>
      <c r="F16" s="1">
        <f>A16*Alternativa2!E21*Param!B26</f>
        <v>1475656.5583857985</v>
      </c>
      <c r="I16" s="1">
        <f>A16*Alternativa1!B21*Param!B27</f>
        <v>105016.85904682572</v>
      </c>
      <c r="J16" s="1">
        <f>A16*Alternativa1!C21*Param!B27</f>
        <v>735171.96024290274</v>
      </c>
      <c r="K16" s="1">
        <f>A16*Alternativa1!D21*Param!B27</f>
        <v>555430.16613937786</v>
      </c>
      <c r="L16" s="1">
        <f>A16*Alternativa1!E21*Param!B27</f>
        <v>2131053.2699570842</v>
      </c>
    </row>
    <row r="17" spans="1:12" x14ac:dyDescent="0.25">
      <c r="A17">
        <f t="shared" si="0"/>
        <v>0.74621539663662739</v>
      </c>
      <c r="B17">
        <v>7</v>
      </c>
      <c r="C17" s="1">
        <f>A17*Alternativa2!B22*c_A</f>
        <v>12.225993058494506</v>
      </c>
      <c r="D17" s="1">
        <f>A17*Alternativa2!C22*c_B</f>
        <v>6841.7045933556883</v>
      </c>
      <c r="E17" s="1">
        <f>A17*Alternativa2!D22*Param!B25</f>
        <v>104085.32023501443</v>
      </c>
      <c r="F17" s="1">
        <f>A17*Alternativa2!E22*Param!B26</f>
        <v>1443167.7827248354</v>
      </c>
      <c r="I17" s="1">
        <f>A17*Alternativa1!B22*Param!B27</f>
        <v>45007.225305782449</v>
      </c>
      <c r="J17" s="1">
        <f>A17*Alternativa1!C22*Param!B27</f>
        <v>415094.89128347067</v>
      </c>
      <c r="K17" s="1">
        <f>A17*Alternativa1!D22*Param!B27</f>
        <v>317172.80342572555</v>
      </c>
      <c r="L17" s="1">
        <f>A17*Alternativa1!E22*Param!B27</f>
        <v>2118423.7485300857</v>
      </c>
    </row>
    <row r="18" spans="1:12" x14ac:dyDescent="0.25">
      <c r="A18">
        <f t="shared" si="0"/>
        <v>0.71068133013012125</v>
      </c>
      <c r="B18">
        <v>8</v>
      </c>
      <c r="C18" s="1">
        <f>A18*Alternativa2!B23*c_A</f>
        <v>4.6575211651407642</v>
      </c>
      <c r="D18" s="1">
        <f>A18*Alternativa2!C23*c_B</f>
        <v>3430.8650415204638</v>
      </c>
      <c r="E18" s="1">
        <f>A18*Alternativa2!D23*Param!B25</f>
        <v>51969.415912018696</v>
      </c>
      <c r="F18" s="1">
        <f>A18*Alternativa2!E23*Param!B26</f>
        <v>1393533.060646039</v>
      </c>
      <c r="I18" s="1">
        <f>A18*Alternativa1!B23*Param!B27</f>
        <v>19288.810845335334</v>
      </c>
      <c r="J18" s="1">
        <f>A18*Alternativa1!C23*Param!B27</f>
        <v>230289.8645691844</v>
      </c>
      <c r="K18" s="1">
        <f>A18*Alternativa1!D23*Param!B27</f>
        <v>177549.62749096737</v>
      </c>
      <c r="L18" s="1">
        <f>A18*Alternativa1!E23*Param!B27</f>
        <v>2067881.7129423083</v>
      </c>
    </row>
    <row r="19" spans="1:12" x14ac:dyDescent="0.25">
      <c r="A19">
        <f t="shared" si="0"/>
        <v>0.67683936202868689</v>
      </c>
      <c r="B19">
        <v>9</v>
      </c>
      <c r="C19" s="1">
        <f>A19*Alternativa2!B24*c_A</f>
        <v>1.7742937771964817</v>
      </c>
      <c r="D19" s="1">
        <f>A19*Alternativa2!C24*c_B</f>
        <v>1699.6159143453069</v>
      </c>
      <c r="E19" s="1">
        <f>A19*Alternativa2!D24*Param!B25</f>
        <v>25657.567116732702</v>
      </c>
      <c r="F19" s="1">
        <f>A19*Alternativa2!E24*Param!B26</f>
        <v>1336679.5002849202</v>
      </c>
      <c r="I19" s="1">
        <f>A19*Alternativa1!B24*Param!B27</f>
        <v>8266.6332194294282</v>
      </c>
      <c r="J19" s="1">
        <f>A19*Alternativa1!C24*Param!B27</f>
        <v>126139.11311109716</v>
      </c>
      <c r="K19" s="1">
        <f>A19*Alternativa1!D24*Param!B27</f>
        <v>97949.057259023932</v>
      </c>
      <c r="L19" s="1">
        <f>A19*Alternativa1!E24*Param!B27</f>
        <v>1997427.8818883605</v>
      </c>
    </row>
    <row r="20" spans="1:12" x14ac:dyDescent="0.25">
      <c r="A20">
        <f t="shared" si="0"/>
        <v>0.64460891621779703</v>
      </c>
      <c r="B20">
        <v>10</v>
      </c>
      <c r="C20" s="1">
        <f>A20*Alternativa2!B25*c_A</f>
        <v>0.67592143893199319</v>
      </c>
      <c r="D20" s="1">
        <f>A20*Alternativa2!C25*c_B</f>
        <v>834.43449501335351</v>
      </c>
      <c r="E20" s="1">
        <f>A20*Alternativa2!D25*Param!B25</f>
        <v>12562.940293235724</v>
      </c>
      <c r="F20" s="1">
        <f>A20*Alternativa2!E25*Param!B26</f>
        <v>1277712.2116701412</v>
      </c>
      <c r="I20" s="1">
        <f>A20*Alternativa1!B25*Param!B27</f>
        <v>3542.8428083268982</v>
      </c>
      <c r="J20" s="1">
        <f>A20*Alternativa1!C25*Param!B27</f>
        <v>68434.763978030722</v>
      </c>
      <c r="K20" s="1">
        <f>A20*Alternativa1!D25*Param!B27</f>
        <v>53445.480745066467</v>
      </c>
      <c r="L20" s="1">
        <f>A20*Alternativa1!E25*Param!B27</f>
        <v>1917703.1404179153</v>
      </c>
    </row>
    <row r="21" spans="1:12" x14ac:dyDescent="0.25">
      <c r="A21">
        <f t="shared" si="0"/>
        <v>0.6139132535407591</v>
      </c>
      <c r="B21">
        <v>11</v>
      </c>
      <c r="C21" s="1">
        <f>A21*Alternativa2!B26*c_A</f>
        <v>0.25749388149790214</v>
      </c>
      <c r="D21" s="1">
        <f>A21*Alternativa2!C26*c_B</f>
        <v>406.90921988077798</v>
      </c>
      <c r="E21" s="1">
        <f>A21*Alternativa2!D26*Param!B25</f>
        <v>6113.3144071390971</v>
      </c>
      <c r="F21" s="1">
        <f>A21*Alternativa2!E26*Param!B26</f>
        <v>1219159.2764127434</v>
      </c>
      <c r="I21" s="1">
        <f>A21*Alternativa1!B26*Param!B27</f>
        <v>1518.3612035686708</v>
      </c>
      <c r="J21" s="1">
        <f>A21*Alternativa1!C26*Param!B27</f>
        <v>36859.021933728545</v>
      </c>
      <c r="K21" s="1">
        <f>A21*Alternativa1!D26*Param!B27</f>
        <v>28918.141960879584</v>
      </c>
      <c r="L21" s="1">
        <f>A21*Alternativa1!E26*Param!B27</f>
        <v>1834755.1249901562</v>
      </c>
    </row>
    <row r="22" spans="1:12" x14ac:dyDescent="0.25">
      <c r="A22">
        <f t="shared" si="0"/>
        <v>0.58467928908643718</v>
      </c>
      <c r="B22">
        <v>12</v>
      </c>
      <c r="C22" s="1">
        <f>A22*Alternativa2!B27*c_A</f>
        <v>9.8092907237296037E-2</v>
      </c>
      <c r="D22" s="1">
        <f>A22*Alternativa2!C27*c_B</f>
        <v>197.40799436250742</v>
      </c>
      <c r="E22" s="1">
        <f>A22*Alternativa2!D27*Param!B25</f>
        <v>2960.8534308926951</v>
      </c>
      <c r="F22" s="1">
        <f>A22*Alternativa2!E27*Param!B26</f>
        <v>1162217.588872198</v>
      </c>
      <c r="I22" s="1">
        <f>A22*Alternativa1!B27*Param!B27</f>
        <v>650.72623010085897</v>
      </c>
      <c r="J22" s="1">
        <f>A22*Alternativa1!C27*Param!B27</f>
        <v>19740.924213925049</v>
      </c>
      <c r="K22" s="1">
        <f>A22*Alternativa1!D27*Param!B27</f>
        <v>15545.2051775411</v>
      </c>
      <c r="L22" s="1">
        <f>A22*Alternativa1!E27*Param!B27</f>
        <v>1751904.1862225849</v>
      </c>
    </row>
    <row r="23" spans="1:12" x14ac:dyDescent="0.25">
      <c r="A23">
        <f t="shared" si="0"/>
        <v>0.55683741817755916</v>
      </c>
      <c r="B23">
        <v>13</v>
      </c>
      <c r="C23" s="1">
        <f>A23*Alternativa2!B28*c_A</f>
        <v>3.7368726566588968E-2</v>
      </c>
      <c r="D23" s="1">
        <f>A23*Alternativa2!C28*c_B</f>
        <v>95.391120813073854</v>
      </c>
      <c r="E23" s="1">
        <f>A23*Alternativa2!D28*Param!B25</f>
        <v>1428.8434050249737</v>
      </c>
      <c r="F23" s="1">
        <f>A23*Alternativa2!E28*Param!B26</f>
        <v>1107412.8125035132</v>
      </c>
      <c r="I23" s="1">
        <f>A23*Alternativa1!B28*Param!B27</f>
        <v>278.88267004322518</v>
      </c>
      <c r="J23" s="1">
        <f>A23*Alternativa1!C28*Param!B27</f>
        <v>10526.405892084797</v>
      </c>
      <c r="K23" s="1">
        <f>A23*Alternativa1!D28*Param!B27</f>
        <v>8313.8237451310142</v>
      </c>
      <c r="L23" s="1">
        <f>A23*Alternativa1!E28*Param!B27</f>
        <v>1670904.4232353407</v>
      </c>
    </row>
    <row r="24" spans="1:12" x14ac:dyDescent="0.25">
      <c r="A24">
        <f t="shared" si="0"/>
        <v>0.5303213506452944</v>
      </c>
      <c r="B24">
        <v>14</v>
      </c>
      <c r="C24" s="1">
        <f>A24*Alternativa2!B29*c_A</f>
        <v>1.4235705358700558E-2</v>
      </c>
      <c r="D24" s="1">
        <f>A24*Alternativa2!C29*c_B</f>
        <v>45.952843805762633</v>
      </c>
      <c r="E24" s="1">
        <f>A24*Alternativa2!D29*Param!B25</f>
        <v>687.5953103387028</v>
      </c>
      <c r="F24" s="1">
        <f>A24*Alternativa2!E29*Param!B26</f>
        <v>1054938.7968966414</v>
      </c>
      <c r="I24" s="1">
        <f>A24*Alternativa1!B29*Param!B27</f>
        <v>119.52114430423937</v>
      </c>
      <c r="J24" s="1">
        <f>A24*Alternativa1!C29*Param!B27</f>
        <v>5593.5124206281953</v>
      </c>
      <c r="K24" s="1">
        <f>A24*Alternativa1!D29*Param!B27</f>
        <v>4428.4188452743492</v>
      </c>
      <c r="L24" s="1">
        <f>A24*Alternativa1!E29*Param!B27</f>
        <v>1592632.1265931262</v>
      </c>
    </row>
    <row r="25" spans="1:12" x14ac:dyDescent="0.25">
      <c r="A25">
        <f t="shared" si="0"/>
        <v>0.50506795299551843</v>
      </c>
      <c r="B25">
        <v>15</v>
      </c>
      <c r="C25" s="1">
        <f>A25*Alternativa2!B30*c_A</f>
        <v>5.423125850933545E-3</v>
      </c>
      <c r="D25" s="1">
        <f>A25*Alternativa2!C30*c_B</f>
        <v>22.083640121388587</v>
      </c>
      <c r="E25" s="1">
        <f>A25*Alternativa2!D30*Param!B25</f>
        <v>330.16355128114975</v>
      </c>
      <c r="F25" s="1">
        <f>A25*Alternativa2!E30*Param!B26</f>
        <v>1004828.6473458296</v>
      </c>
      <c r="I25" s="1">
        <f>A25*Alternativa1!B30*Param!B27</f>
        <v>51.223347558959723</v>
      </c>
      <c r="J25" s="1">
        <f>A25*Alternativa1!C30*Param!B27</f>
        <v>2964.0839758445518</v>
      </c>
      <c r="K25" s="1">
        <f>A25*Alternativa1!D30*Param!B27</f>
        <v>2351.2502971498866</v>
      </c>
      <c r="L25" s="1">
        <f>A25*Alternativa1!E30*Param!B27</f>
        <v>1517481.2500692676</v>
      </c>
    </row>
    <row r="26" spans="1:12" x14ac:dyDescent="0.25">
      <c r="A26">
        <f t="shared" si="0"/>
        <v>0.48101709809096993</v>
      </c>
      <c r="B26">
        <v>16</v>
      </c>
      <c r="C26" s="1">
        <f>A26*Alternativa2!B31*c_A</f>
        <v>2.065952705117541E-3</v>
      </c>
      <c r="D26" s="1">
        <f>A26*Alternativa2!C31*c_B</f>
        <v>10.592717599600626</v>
      </c>
      <c r="E26" s="1">
        <f>A26*Alternativa2!D31*Param!B25</f>
        <v>158.26256084164541</v>
      </c>
      <c r="F26" s="1">
        <f>A26*Alternativa2!E31*Param!B26</f>
        <v>957039.68103321129</v>
      </c>
      <c r="I26" s="1">
        <f>A26*Alternativa1!B31*Param!B27</f>
        <v>21.952863239554169</v>
      </c>
      <c r="J26" s="1">
        <f>A26*Alternativa1!C31*Param!B27</f>
        <v>1567.2506580782774</v>
      </c>
      <c r="K26" s="1">
        <f>A26*Alternativa1!D31*Param!B27</f>
        <v>1245.1768663327432</v>
      </c>
      <c r="L26" s="1">
        <f>A26*Alternativa1!E31*Param!B27</f>
        <v>1445585.5800355116</v>
      </c>
    </row>
    <row r="27" spans="1:12" x14ac:dyDescent="0.25">
      <c r="A27">
        <f t="shared" si="0"/>
        <v>0.45811152199139993</v>
      </c>
      <c r="B27">
        <v>17</v>
      </c>
      <c r="C27" s="1">
        <f>A27*Alternativa2!B32*c_A</f>
        <v>7.8702960194953965E-4</v>
      </c>
      <c r="D27" s="1">
        <f>A27*Alternativa2!C32*c_B</f>
        <v>5.0733697118774366</v>
      </c>
      <c r="E27" s="1">
        <f>A27*Alternativa2!D32*Param!B25</f>
        <v>75.759744352939535</v>
      </c>
      <c r="F27" s="1">
        <f>A27*Alternativa2!E32*Param!B26</f>
        <v>911495.12444643455</v>
      </c>
      <c r="I27" s="1">
        <f>A27*Alternativa1!B32*Param!B27</f>
        <v>9.4083699598089297</v>
      </c>
      <c r="J27" s="1">
        <f>A27*Alternativa1!C32*Param!B27</f>
        <v>827.21306753801798</v>
      </c>
      <c r="K27" s="1">
        <f>A27*Alternativa1!D32*Param!B27</f>
        <v>658.05960110180501</v>
      </c>
      <c r="L27" s="1">
        <f>A27*Alternativa1!E32*Param!B27</f>
        <v>1376941.5027558319</v>
      </c>
    </row>
    <row r="28" spans="1:12" x14ac:dyDescent="0.25">
      <c r="A28">
        <f t="shared" si="0"/>
        <v>0.43629668761085705</v>
      </c>
      <c r="B28">
        <v>18</v>
      </c>
      <c r="C28" s="1">
        <f>A28*Alternativa2!B33*c_A</f>
        <v>2.9982080074268176E-4</v>
      </c>
      <c r="D28" s="1">
        <f>A28*Alternativa2!C33*c_B</f>
        <v>2.4270211862168276</v>
      </c>
      <c r="E28" s="1">
        <f>A28*Alternativa2!D33*Param!B25</f>
        <v>36.227086561240448</v>
      </c>
      <c r="F28" s="1">
        <f>A28*Alternativa2!E33*Param!B26</f>
        <v>868104.36003097566</v>
      </c>
      <c r="I28" s="1">
        <f>A28*Alternativa1!B33*Param!B27</f>
        <v>4.0321585542038276</v>
      </c>
      <c r="J28" s="1">
        <f>A28*Alternativa1!C33*Param!B27</f>
        <v>435.99018869890728</v>
      </c>
      <c r="K28" s="1">
        <f>A28*Alternativa1!D33*Param!B27</f>
        <v>347.19678588921562</v>
      </c>
      <c r="L28" s="1">
        <f>A28*Alternativa1!E33*Param!B27</f>
        <v>1311474.9705104013</v>
      </c>
    </row>
    <row r="29" spans="1:12" x14ac:dyDescent="0.25">
      <c r="A29">
        <f t="shared" si="0"/>
        <v>0.41552065486748291</v>
      </c>
      <c r="B29">
        <v>19</v>
      </c>
      <c r="C29" s="1">
        <f>A29*Alternativa2!B34*c_A</f>
        <v>1.1421744790197402E-4</v>
      </c>
      <c r="D29" s="1">
        <f>A29*Alternativa2!C34*c_B</f>
        <v>1.1599646971423263</v>
      </c>
      <c r="E29" s="1">
        <f>A29*Alternativa2!D34*Param!B25</f>
        <v>17.308502609086865</v>
      </c>
      <c r="F29" s="1">
        <f>A29*Alternativa2!E34*Param!B26</f>
        <v>826772.63849482988</v>
      </c>
      <c r="I29" s="1">
        <f>A29*Alternativa1!B34*Param!B27</f>
        <v>1.7280679518016404</v>
      </c>
      <c r="J29" s="1">
        <f>A29*Alternativa1!C34*Param!B27</f>
        <v>229.52785842920014</v>
      </c>
      <c r="K29" s="1">
        <f>A29*Alternativa1!D34*Param!B27</f>
        <v>182.93689234656321</v>
      </c>
      <c r="L29" s="1">
        <f>A29*Alternativa1!E34*Param!B27</f>
        <v>1249077.629270605</v>
      </c>
    </row>
    <row r="30" spans="1:12" x14ac:dyDescent="0.25">
      <c r="A30">
        <f t="shared" si="0"/>
        <v>0.39573395701665037</v>
      </c>
      <c r="B30">
        <v>20</v>
      </c>
      <c r="C30" s="1">
        <f>A30*Alternativa2!B35*c_A</f>
        <v>4.3511408724561531E-5</v>
      </c>
      <c r="D30" s="1">
        <f>A30*Alternativa2!C35*c_B</f>
        <v>0.55397950254524519</v>
      </c>
      <c r="E30" s="1">
        <f>A30*Alternativa2!D35*Param!B25</f>
        <v>8.2640461246311467</v>
      </c>
      <c r="F30" s="1">
        <f>A30*Alternativa2!E35*Param!B26</f>
        <v>787405.65687349357</v>
      </c>
      <c r="I30" s="1">
        <f>A30*Alternativa1!B35*Param!B27</f>
        <v>0.74060055077213149</v>
      </c>
      <c r="J30" s="1">
        <f>A30*Alternativa1!C35*Param!B27</f>
        <v>120.72261192533389</v>
      </c>
      <c r="K30" s="1">
        <f>A30*Alternativa1!D35*Param!B27</f>
        <v>96.283793581266167</v>
      </c>
      <c r="L30" s="1">
        <f>A30*Alternativa1!E35*Param!B27</f>
        <v>1189626.103128324</v>
      </c>
    </row>
    <row r="31" spans="1:12" x14ac:dyDescent="0.25">
      <c r="A31">
        <f t="shared" si="0"/>
        <v>0.37688948287300034</v>
      </c>
      <c r="B31">
        <v>21</v>
      </c>
      <c r="C31" s="1">
        <f>A31*Alternativa2!B36*c_A</f>
        <v>1.6575774752213918E-5</v>
      </c>
      <c r="D31" s="1">
        <f>A31*Alternativa2!C36*c_B</f>
        <v>0.26441513875445938</v>
      </c>
      <c r="E31" s="1">
        <f>A31*Alternativa2!D36*Param!B25</f>
        <v>3.9436019254741961</v>
      </c>
      <c r="F31" s="1">
        <f>A31*Alternativa2!E36*Param!B26</f>
        <v>749911.65038742078</v>
      </c>
      <c r="I31" s="1">
        <f>A31*Alternativa1!B36*Param!B27</f>
        <v>0.31740023604519924</v>
      </c>
      <c r="J31" s="1">
        <f>A31*Alternativa1!C36*Param!B27</f>
        <v>63.447254023014551</v>
      </c>
      <c r="K31" s="1">
        <f>A31*Alternativa1!D36*Param!B27</f>
        <v>50.631491211096197</v>
      </c>
      <c r="L31" s="1">
        <f>A31*Alternativa1!E36*Param!B27</f>
        <v>1132992.1632747562</v>
      </c>
    </row>
    <row r="32" spans="1:12" x14ac:dyDescent="0.25">
      <c r="A32">
        <f t="shared" si="0"/>
        <v>0.35894236464095269</v>
      </c>
      <c r="B32">
        <v>22</v>
      </c>
      <c r="C32" s="1">
        <f>A32*Alternativa2!B37*c_A</f>
        <v>6.314580857986253E-6</v>
      </c>
      <c r="D32" s="1">
        <f>A32*Alternativa2!C37*c_B</f>
        <v>0.12614639964980956</v>
      </c>
      <c r="E32" s="1">
        <f>A32*Alternativa2!D37*Param!B25</f>
        <v>1.8810830289965255</v>
      </c>
      <c r="F32" s="1">
        <f>A32*Alternativa2!E37*Param!B26</f>
        <v>714202.28801117535</v>
      </c>
      <c r="I32" s="1">
        <f>A32*Alternativa1!B37*Param!B27</f>
        <v>0.13602867259079968</v>
      </c>
      <c r="J32" s="1">
        <f>A32*Alternativa1!C37*Param!B27</f>
        <v>33.32496169854435</v>
      </c>
      <c r="K32" s="1">
        <f>A32*Alternativa1!D37*Param!B27</f>
        <v>26.605773918833368</v>
      </c>
      <c r="L32" s="1">
        <f>A32*Alternativa1!E37*Param!B27</f>
        <v>1079048.0003866514</v>
      </c>
    </row>
    <row r="33" spans="1:12" x14ac:dyDescent="0.25">
      <c r="A33">
        <f t="shared" si="0"/>
        <v>0.34184987108662163</v>
      </c>
      <c r="B33">
        <v>23</v>
      </c>
      <c r="C33" s="1">
        <f>A33*Alternativa2!B38*c_A</f>
        <v>2.405554612566192E-6</v>
      </c>
      <c r="D33" s="1">
        <f>A33*Alternativa2!C38*c_B</f>
        <v>6.0159020333948467E-2</v>
      </c>
      <c r="E33" s="1">
        <f>A33*Alternativa2!D38*Param!B25</f>
        <v>0.89696409858007231</v>
      </c>
      <c r="F33" s="1">
        <f>A33*Alternativa2!E38*Param!B26</f>
        <v>680192.99685872509</v>
      </c>
      <c r="I33" s="1">
        <f>A33*Alternativa1!B38*Param!B27</f>
        <v>5.8298002538914144E-2</v>
      </c>
      <c r="J33" s="1">
        <f>A33*Alternativa1!C38*Param!B27</f>
        <v>17.494797653311078</v>
      </c>
      <c r="K33" s="1">
        <f>A33*Alternativa1!D38*Param!B27</f>
        <v>13.972590931311366</v>
      </c>
      <c r="L33" s="1">
        <f>A33*Alternativa1!E38*Param!B27</f>
        <v>1027668.8837172126</v>
      </c>
    </row>
    <row r="34" spans="1:12" x14ac:dyDescent="0.25">
      <c r="A34">
        <f t="shared" si="0"/>
        <v>0.32557130579678251</v>
      </c>
      <c r="B34">
        <v>24</v>
      </c>
      <c r="C34" s="1">
        <f>A34*Alternativa2!B39*c_A</f>
        <v>9.164017571680733E-7</v>
      </c>
      <c r="D34" s="1">
        <f>A34*Alternativa2!C39*c_B</f>
        <v>2.8681173955210328E-2</v>
      </c>
      <c r="E34" s="1">
        <f>A34*Alternativa2!D39*Param!B25</f>
        <v>0.42758677735890466</v>
      </c>
      <c r="F34" s="1">
        <f>A34*Alternativa2!E39*Param!B26</f>
        <v>647803.01703433774</v>
      </c>
      <c r="I34" s="1">
        <f>A34*Alternativa1!B39*Param!B27</f>
        <v>2.4984858230963202E-2</v>
      </c>
      <c r="J34" s="1">
        <f>A34*Alternativa1!C39*Param!B27</f>
        <v>9.180598200078828</v>
      </c>
      <c r="K34" s="1">
        <f>A34*Alternativa1!D39*Param!B27</f>
        <v>7.3345086199966989</v>
      </c>
      <c r="L34" s="1">
        <f>A34*Alternativa1!E39*Param!B27</f>
        <v>978734.43429645605</v>
      </c>
    </row>
    <row r="35" spans="1:12" x14ac:dyDescent="0.25">
      <c r="A35">
        <f t="shared" si="0"/>
        <v>0.31006791028265002</v>
      </c>
      <c r="B35">
        <v>25</v>
      </c>
      <c r="C35" s="1">
        <f>A35*Alternativa2!B40*c_A</f>
        <v>3.4910543130212318E-7</v>
      </c>
      <c r="D35" s="1">
        <f>A35*Alternativa2!C40*c_B</f>
        <v>1.3670662422570581E-2</v>
      </c>
      <c r="E35" s="1">
        <f>A35*Alternativa2!D40*Param!B25</f>
        <v>0.20378836457087293</v>
      </c>
      <c r="F35" s="1">
        <f>A35*Alternativa2!E40*Param!B26</f>
        <v>616955.33196249395</v>
      </c>
      <c r="I35" s="1">
        <f>A35*Alternativa1!B40*Param!B27</f>
        <v>1.0707796384698516E-2</v>
      </c>
      <c r="J35" s="1">
        <f>A35*Alternativa1!C40*Param!B27</f>
        <v>4.8160233023929955</v>
      </c>
      <c r="K35" s="1">
        <f>A35*Alternativa1!D40*Param!B27</f>
        <v>3.8485435244358568</v>
      </c>
      <c r="L35" s="1">
        <f>A35*Alternativa1!E40*Param!B27</f>
        <v>932129.16847938334</v>
      </c>
    </row>
    <row r="36" spans="1:12" x14ac:dyDescent="0.25">
      <c r="A36">
        <f t="shared" si="0"/>
        <v>0.29530277169776192</v>
      </c>
      <c r="B36">
        <v>26</v>
      </c>
      <c r="C36" s="1">
        <f>A36*Alternativa2!B41*c_A</f>
        <v>1.329925452579517E-7</v>
      </c>
      <c r="D36" s="1">
        <f>A36*Alternativa2!C41*c_B</f>
        <v>6.5147765970858364E-3</v>
      </c>
      <c r="E36" s="1">
        <f>A36*Alternativa2!D41*Param!B25</f>
        <v>9.7108975372378573E-2</v>
      </c>
      <c r="F36" s="1">
        <f>A36*Alternativa2!E41*Param!B26</f>
        <v>587576.54363504401</v>
      </c>
      <c r="I36" s="1">
        <f>A36*Alternativa1!B41*Param!B27</f>
        <v>4.5890555934422214E-3</v>
      </c>
      <c r="J36" s="1">
        <f>A36*Alternativa1!C41*Param!B27</f>
        <v>2.5257382430776731</v>
      </c>
      <c r="K36" s="1">
        <f>A36*Alternativa1!D41*Param!B27</f>
        <v>2.0187576392498752</v>
      </c>
      <c r="L36" s="1">
        <f>A36*Alternativa1!E41*Param!B27</f>
        <v>887742.66113222844</v>
      </c>
    </row>
    <row r="37" spans="1:12" x14ac:dyDescent="0.25">
      <c r="A37">
        <f t="shared" si="0"/>
        <v>0.28124073495024943</v>
      </c>
      <c r="B37">
        <v>27</v>
      </c>
      <c r="C37" s="1">
        <f>A37*Alternativa2!B42*c_A</f>
        <v>5.0663826764933981E-8</v>
      </c>
      <c r="D37" s="1">
        <f>A37*Alternativa2!C42*c_B</f>
        <v>3.1041554646095218E-3</v>
      </c>
      <c r="E37" s="1">
        <f>A37*Alternativa2!D42*Param!B25</f>
        <v>4.6267852839620212E-2</v>
      </c>
      <c r="F37" s="1">
        <f>A37*Alternativa2!E42*Param!B26</f>
        <v>559596.72585655563</v>
      </c>
      <c r="I37" s="1">
        <f>A37*Alternativa1!B42*Param!B27</f>
        <v>1.9667381114752375E-3</v>
      </c>
      <c r="J37" s="1">
        <f>A37*Alternativa1!C42*Param!B27</f>
        <v>1.3243169051150026</v>
      </c>
      <c r="K37" s="1">
        <f>A37*Alternativa1!D42*Param!B27</f>
        <v>1.0586677178557831</v>
      </c>
      <c r="L37" s="1">
        <f>A37*Alternativa1!E42*Param!B27</f>
        <v>845469.51363617438</v>
      </c>
    </row>
    <row r="38" spans="1:12" x14ac:dyDescent="0.25">
      <c r="A38">
        <f t="shared" si="0"/>
        <v>0.26784831900023753</v>
      </c>
      <c r="B38">
        <v>28</v>
      </c>
      <c r="C38" s="1">
        <f>A38*Alternativa2!B43*c_A</f>
        <v>1.9300505434260563E-8</v>
      </c>
      <c r="D38" s="1">
        <f>A38*Alternativa2!C43*c_B</f>
        <v>1.4788858001259239E-3</v>
      </c>
      <c r="E38" s="1">
        <f>A38*Alternativa2!D43*Param!B25</f>
        <v>2.2042018645762738E-2</v>
      </c>
      <c r="F38" s="1">
        <f>A38*Alternativa2!E43*Param!B26</f>
        <v>532949.27112151391</v>
      </c>
      <c r="I38" s="1">
        <f>A38*Alternativa1!B43*Param!B27</f>
        <v>8.428877620608161E-4</v>
      </c>
      <c r="J38" s="1">
        <f>A38*Alternativa1!C43*Param!B27</f>
        <v>0.69425173261589912</v>
      </c>
      <c r="K38" s="1">
        <f>A38*Alternativa1!D43*Param!B27</f>
        <v>0.55506452732401856</v>
      </c>
      <c r="L38" s="1">
        <f>A38*Alternativa1!E43*Param!B27</f>
        <v>805209.2245034948</v>
      </c>
    </row>
    <row r="39" spans="1:12" x14ac:dyDescent="0.25">
      <c r="A39">
        <f t="shared" si="0"/>
        <v>0.25509363714308336</v>
      </c>
      <c r="B39">
        <v>29</v>
      </c>
      <c r="C39" s="1">
        <f>A39*Alternativa2!B44*c_A</f>
        <v>7.3525734987659287E-9</v>
      </c>
      <c r="D39" s="1">
        <f>A39*Alternativa2!C44*c_B</f>
        <v>7.0450429768443873E-4</v>
      </c>
      <c r="E39" s="1">
        <f>A39*Alternativa2!D44*Param!B25</f>
        <v>1.0499897474859514E-2</v>
      </c>
      <c r="F39" s="1">
        <f>A39*Alternativa2!E44*Param!B26</f>
        <v>507570.73840360949</v>
      </c>
      <c r="I39" s="1">
        <f>A39*Alternativa1!B44*Param!B27</f>
        <v>3.612376123117783E-4</v>
      </c>
      <c r="J39" s="1">
        <f>A39*Alternativa1!C44*Param!B27</f>
        <v>0.36389649454034551</v>
      </c>
      <c r="K39" s="1">
        <f>A39*Alternativa1!D44*Param!B27</f>
        <v>0.29097279936605958</v>
      </c>
      <c r="L39" s="1">
        <f>A39*Alternativa1!E44*Param!B27</f>
        <v>766866.01402548887</v>
      </c>
    </row>
    <row r="40" spans="1:12" x14ac:dyDescent="0.25">
      <c r="A40">
        <f t="shared" si="0"/>
        <v>0.2429463210886508</v>
      </c>
      <c r="B40">
        <v>30</v>
      </c>
      <c r="C40" s="1">
        <f>A40*Alternativa2!B45*c_A</f>
        <v>2.8009803804822583E-9</v>
      </c>
      <c r="D40" s="1">
        <f>A40*Alternativa2!C45*c_B</f>
        <v>3.3558222338921529E-4</v>
      </c>
      <c r="E40" s="1">
        <f>A40*Alternativa2!D45*Param!B25</f>
        <v>5.0013599636604556E-3</v>
      </c>
      <c r="F40" s="1">
        <f>A40*Alternativa2!E45*Param!B26</f>
        <v>483400.70514797402</v>
      </c>
      <c r="I40" s="1">
        <f>A40*Alternativa1!B45*Param!B27</f>
        <v>1.5481611956219069E-4</v>
      </c>
      <c r="J40" s="1">
        <f>A40*Alternativa1!C45*Param!B27</f>
        <v>0.19071566026750816</v>
      </c>
      <c r="K40" s="1">
        <f>A40*Alternativa1!D45*Param!B27</f>
        <v>0.15251063469241757</v>
      </c>
      <c r="L40" s="1">
        <f>A40*Alternativa1!E45*Param!B27</f>
        <v>730348.6298280044</v>
      </c>
    </row>
    <row r="41" spans="1:12" x14ac:dyDescent="0.25">
      <c r="A41">
        <f t="shared" si="0"/>
        <v>0.23137744865585791</v>
      </c>
      <c r="B41">
        <v>31</v>
      </c>
      <c r="C41" s="1">
        <f>A41*Alternativa2!B46*c_A</f>
        <v>1.0670401449456224E-9</v>
      </c>
      <c r="D41" s="1">
        <f>A41*Alternativa2!C46*c_B</f>
        <v>1.5984067262215029E-4</v>
      </c>
      <c r="E41" s="1">
        <f>A41*Alternativa2!D46*Param!B25</f>
        <v>2.3821366563657308E-3</v>
      </c>
      <c r="F41" s="1">
        <f>A41*Alternativa2!E46*Param!B26</f>
        <v>460381.62485852715</v>
      </c>
      <c r="I41" s="1">
        <f>A41*Alternativa1!B46*Param!B27</f>
        <v>6.6349765526653161E-5</v>
      </c>
      <c r="J41" s="1">
        <f>A41*Alternativa1!C46*Param!B27</f>
        <v>9.9942912364760148E-2</v>
      </c>
      <c r="K41" s="1">
        <f>A41*Alternativa1!D46*Param!B27</f>
        <v>7.9927800961009418E-2</v>
      </c>
      <c r="L41" s="1">
        <f>A41*Alternativa1!E46*Param!B27</f>
        <v>695570.14725297771</v>
      </c>
    </row>
    <row r="42" spans="1:12" x14ac:dyDescent="0.25">
      <c r="A42">
        <f t="shared" si="0"/>
        <v>0.22035947491034086</v>
      </c>
      <c r="B42">
        <v>32</v>
      </c>
      <c r="C42" s="1">
        <f>A42*Alternativa2!B47*c_A</f>
        <v>4.0649148378880855E-10</v>
      </c>
      <c r="D42" s="1">
        <f>A42*Alternativa2!C47*c_B</f>
        <v>7.6129697006883433E-5</v>
      </c>
      <c r="E42" s="1">
        <f>A42*Alternativa2!D47*Param!B25</f>
        <v>1.1345552340326071E-3</v>
      </c>
      <c r="F42" s="1">
        <f>A42*Alternativa2!E47*Param!B26</f>
        <v>438458.69077396527</v>
      </c>
      <c r="I42" s="1">
        <f>A42*Alternativa1!B47*Param!B27</f>
        <v>2.8435613797137067E-5</v>
      </c>
      <c r="J42" s="1">
        <f>A42*Alternativa1!C47*Param!B27</f>
        <v>5.2370006409786743E-2</v>
      </c>
      <c r="K42" s="1">
        <f>A42*Alternativa1!D47*Param!B27</f>
        <v>4.1884634540781195E-2</v>
      </c>
      <c r="L42" s="1">
        <f>A42*Alternativa1!E47*Param!B27</f>
        <v>662447.77166022442</v>
      </c>
    </row>
    <row r="43" spans="1:12" x14ac:dyDescent="0.25">
      <c r="A43">
        <f t="shared" si="0"/>
        <v>0.20986616658127699</v>
      </c>
      <c r="B43">
        <v>33</v>
      </c>
      <c r="C43" s="1">
        <f>A43*Alternativa2!B48*c_A</f>
        <v>1.5485389858621277E-10</v>
      </c>
      <c r="D43" s="1">
        <f>A43*Alternativa2!C48*c_B</f>
        <v>3.6257985620929499E-5</v>
      </c>
      <c r="E43" s="1">
        <f>A43*Alternativa2!D48*Param!B25</f>
        <v>5.4034228055568824E-4</v>
      </c>
      <c r="F43" s="1">
        <f>A43*Alternativa2!E48*Param!B26</f>
        <v>417579.70570500789</v>
      </c>
      <c r="I43" s="1">
        <f>A43*Alternativa1!B48*Param!B27</f>
        <v>1.2186691627344456E-5</v>
      </c>
      <c r="J43" s="1">
        <f>A43*Alternativa1!C48*Param!B27</f>
        <v>2.7440032580496997E-2</v>
      </c>
      <c r="K43" s="1">
        <f>A43*Alternativa1!D48*Param!B27</f>
        <v>2.194715260723688E-2</v>
      </c>
      <c r="L43" s="1">
        <f>A43*Alternativa1!E48*Param!B27</f>
        <v>630902.6461593624</v>
      </c>
    </row>
    <row r="44" spans="1:12" x14ac:dyDescent="0.25">
      <c r="A44">
        <f t="shared" si="0"/>
        <v>0.19987253960121618</v>
      </c>
      <c r="B44">
        <v>34</v>
      </c>
      <c r="C44" s="1">
        <f>A44*Alternativa2!B49*c_A</f>
        <v>5.8991961366176284E-11</v>
      </c>
      <c r="D44" s="1">
        <f>A44*Alternativa2!C49*c_B</f>
        <v>1.7267897515103574E-5</v>
      </c>
      <c r="E44" s="1">
        <f>A44*Alternativa2!D49*Param!B25</f>
        <v>2.5733551760028319E-4</v>
      </c>
      <c r="F44" s="1">
        <f>A44*Alternativa2!E49*Param!B26</f>
        <v>397694.95791239891</v>
      </c>
      <c r="I44" s="1">
        <f>A44*Alternativa1!B49*Param!B27</f>
        <v>5.2228678402904813E-6</v>
      </c>
      <c r="J44" s="1">
        <f>A44*Alternativa1!C49*Param!B27</f>
        <v>1.437683231120148E-2</v>
      </c>
      <c r="K44" s="1">
        <f>A44*Alternativa1!D49*Param!B27</f>
        <v>1.1499377108321805E-2</v>
      </c>
      <c r="L44" s="1">
        <f>A44*Alternativa1!E49*Param!B27</f>
        <v>600859.66640584788</v>
      </c>
    </row>
    <row r="45" spans="1:12" x14ac:dyDescent="0.25">
      <c r="A45">
        <f t="shared" si="0"/>
        <v>0.19035479962020588</v>
      </c>
      <c r="B45">
        <v>35</v>
      </c>
      <c r="C45" s="1">
        <f>A45*Alternativa2!B50*c_A</f>
        <v>2.2473128139495729E-11</v>
      </c>
      <c r="D45" s="1">
        <f>A45*Alternativa2!C50*c_B</f>
        <v>8.2236426554076894E-6</v>
      </c>
      <c r="E45" s="1">
        <f>A45*Alternativa2!D50*Param!B25</f>
        <v>1.225520253734145E-4</v>
      </c>
      <c r="F45" s="1">
        <f>A45*Alternativa2!E50*Param!B26</f>
        <v>378757.10282043542</v>
      </c>
      <c r="I45" s="1">
        <f>A45*Alternativa1!B50*Param!B27</f>
        <v>2.2383719315530633E-6</v>
      </c>
      <c r="J45" s="1">
        <f>A45*Alternativa1!C50*Param!B27</f>
        <v>7.5322139347741932E-3</v>
      </c>
      <c r="K45" s="1">
        <f>A45*Alternativa1!D50*Param!B27</f>
        <v>6.0248759345456438E-3</v>
      </c>
      <c r="L45" s="1">
        <f>A45*Alternativa1!E50*Param!B27</f>
        <v>572247.30311871739</v>
      </c>
    </row>
  </sheetData>
  <phoneticPr fontId="3" type="noConversion"/>
  <pageMargins left="0.75" right="0.75" top="1" bottom="1" header="0" footer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G11"/>
  <sheetViews>
    <sheetView workbookViewId="0">
      <selection activeCell="D21" sqref="D21"/>
    </sheetView>
  </sheetViews>
  <sheetFormatPr baseColWidth="10" defaultRowHeight="13.2" x14ac:dyDescent="0.25"/>
  <cols>
    <col min="1" max="1" width="12" bestFit="1" customWidth="1"/>
  </cols>
  <sheetData>
    <row r="1" spans="1:7" x14ac:dyDescent="0.25">
      <c r="A1" s="33"/>
      <c r="B1" s="33"/>
      <c r="C1" s="32"/>
      <c r="D1" s="32"/>
      <c r="E1" s="11"/>
      <c r="F1" s="12"/>
      <c r="G1" s="5"/>
    </row>
    <row r="2" spans="1:7" x14ac:dyDescent="0.25">
      <c r="A2" s="3"/>
      <c r="B2" s="3"/>
      <c r="C2" s="3"/>
      <c r="D2" s="3"/>
      <c r="E2" s="11"/>
      <c r="F2" s="12"/>
      <c r="G2" s="5"/>
    </row>
    <row r="3" spans="1:7" x14ac:dyDescent="0.25">
      <c r="A3" s="1"/>
      <c r="B3" s="2"/>
      <c r="C3" s="1"/>
      <c r="D3" s="2"/>
      <c r="E3" s="1"/>
      <c r="F3" s="2"/>
      <c r="G3" s="10"/>
    </row>
    <row r="8" spans="1:7" x14ac:dyDescent="0.25">
      <c r="B8" s="13" t="s">
        <v>6</v>
      </c>
      <c r="C8" s="13" t="s">
        <v>8</v>
      </c>
      <c r="F8" s="13" t="s">
        <v>6</v>
      </c>
      <c r="G8" s="13" t="s">
        <v>8</v>
      </c>
    </row>
    <row r="9" spans="1:7" x14ac:dyDescent="0.25">
      <c r="A9" s="24" t="s">
        <v>56</v>
      </c>
      <c r="B9" s="24">
        <f>Alternativa1!F12</f>
        <v>9.9300279059181804</v>
      </c>
      <c r="C9" s="24">
        <f>Alternativa2!F12</f>
        <v>7.0596371881111368</v>
      </c>
      <c r="E9" s="24" t="s">
        <v>3</v>
      </c>
      <c r="F9" s="24">
        <f>Efectividad!L6</f>
        <v>3.0918542599597267</v>
      </c>
      <c r="G9" s="24">
        <f>Efectividad!G6</f>
        <v>2.1591197950572143</v>
      </c>
    </row>
    <row r="10" spans="1:7" ht="13.8" thickBot="1" x14ac:dyDescent="0.3">
      <c r="A10" s="25" t="s">
        <v>57</v>
      </c>
      <c r="B10" s="25">
        <f>Coste!M6</f>
        <v>87616.406131577343</v>
      </c>
      <c r="C10" s="25">
        <f>Coste!G6</f>
        <v>38000.754096426412</v>
      </c>
      <c r="E10" s="25" t="s">
        <v>57</v>
      </c>
      <c r="F10" s="25">
        <f>Coste!M6</f>
        <v>87616.406131577343</v>
      </c>
      <c r="G10" s="25">
        <f>Coste!G6</f>
        <v>38000.754096426412</v>
      </c>
    </row>
    <row r="11" spans="1:7" ht="13.8" thickBot="1" x14ac:dyDescent="0.3">
      <c r="A11" s="26" t="s">
        <v>58</v>
      </c>
      <c r="B11" s="34">
        <f>(B10-C10)/(B9-C9)</f>
        <v>17285.330435104286</v>
      </c>
      <c r="C11" s="35"/>
      <c r="E11" s="27" t="s">
        <v>59</v>
      </c>
      <c r="F11" s="34">
        <f>(F10-G10)/(F9-G9)</f>
        <v>53193.758676363119</v>
      </c>
      <c r="G11" s="35"/>
    </row>
  </sheetData>
  <mergeCells count="4">
    <mergeCell ref="C1:D1"/>
    <mergeCell ref="A1:B1"/>
    <mergeCell ref="B11:C11"/>
    <mergeCell ref="F11:G11"/>
  </mergeCells>
  <phoneticPr fontId="3" type="noConversion"/>
  <pageMargins left="0.75" right="0.75" top="1" bottom="1" header="0" footer="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6F49E14CA9DC49B8F657AE3728265E" ma:contentTypeVersion="16" ma:contentTypeDescription="Crear nuevo documento." ma:contentTypeScope="" ma:versionID="580e31871950cb0a3e825ea8b875468f">
  <xsd:schema xmlns:xsd="http://www.w3.org/2001/XMLSchema" xmlns:xs="http://www.w3.org/2001/XMLSchema" xmlns:p="http://schemas.microsoft.com/office/2006/metadata/properties" xmlns:ns3="3d610290-5798-4ccb-bbf1-82140cb3353d" xmlns:ns4="283708ee-b97e-40f3-ae39-bb10f7410c95" targetNamespace="http://schemas.microsoft.com/office/2006/metadata/properties" ma:root="true" ma:fieldsID="42abe006a1ed8b6d63e2f558714657bc" ns3:_="" ns4:_="">
    <xsd:import namespace="3d610290-5798-4ccb-bbf1-82140cb3353d"/>
    <xsd:import namespace="283708ee-b97e-40f3-ae39-bb10f7410c9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10290-5798-4ccb-bbf1-82140cb335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3708ee-b97e-40f3-ae39-bb10f7410c9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d610290-5798-4ccb-bbf1-82140cb335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FB9C2D6-A24D-49B4-AC61-C1AEB8B425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610290-5798-4ccb-bbf1-82140cb3353d"/>
    <ds:schemaRef ds:uri="283708ee-b97e-40f3-ae39-bb10f7410c9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B6AB5A7-9C45-434E-A467-0BDFF388A1D1}">
  <ds:schemaRefs>
    <ds:schemaRef ds:uri="http://purl.org/dc/elements/1.1/"/>
    <ds:schemaRef ds:uri="http://schemas.microsoft.com/office/2006/metadata/properties"/>
    <ds:schemaRef ds:uri="283708ee-b97e-40f3-ae39-bb10f7410c95"/>
    <ds:schemaRef ds:uri="http://purl.org/dc/terms/"/>
    <ds:schemaRef ds:uri="http://schemas.openxmlformats.org/package/2006/metadata/core-properties"/>
    <ds:schemaRef ds:uri="3d610290-5798-4ccb-bbf1-82140cb3353d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C125537-F276-4A15-A791-B07DCEC0975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26</vt:i4>
      </vt:variant>
    </vt:vector>
  </HeadingPairs>
  <TitlesOfParts>
    <vt:vector size="32" baseType="lpstr">
      <vt:lpstr>Param</vt:lpstr>
      <vt:lpstr>Alternativa2</vt:lpstr>
      <vt:lpstr>Alternativa1</vt:lpstr>
      <vt:lpstr>Efectividad</vt:lpstr>
      <vt:lpstr>Coste</vt:lpstr>
      <vt:lpstr>Sumario</vt:lpstr>
      <vt:lpstr>c_A</vt:lpstr>
      <vt:lpstr>c_B</vt:lpstr>
      <vt:lpstr>Ctto1</vt:lpstr>
      <vt:lpstr>Ctto2</vt:lpstr>
      <vt:lpstr>Descuento</vt:lpstr>
      <vt:lpstr>p_AA1</vt:lpstr>
      <vt:lpstr>p_AA2</vt:lpstr>
      <vt:lpstr>p_AB1</vt:lpstr>
      <vt:lpstr>p_AB2</vt:lpstr>
      <vt:lpstr>p_AC1</vt:lpstr>
      <vt:lpstr>p_AC2</vt:lpstr>
      <vt:lpstr>p_AD1</vt:lpstr>
      <vt:lpstr>p_AD2</vt:lpstr>
      <vt:lpstr>p_BB1</vt:lpstr>
      <vt:lpstr>p_BB2</vt:lpstr>
      <vt:lpstr>p_BC1</vt:lpstr>
      <vt:lpstr>p_BC2</vt:lpstr>
      <vt:lpstr>p_BD1</vt:lpstr>
      <vt:lpstr>p_BD2</vt:lpstr>
      <vt:lpstr>p_CC1</vt:lpstr>
      <vt:lpstr>p_CC2</vt:lpstr>
      <vt:lpstr>p_CD1</vt:lpstr>
      <vt:lpstr>p_CD2</vt:lpstr>
      <vt:lpstr>u_A</vt:lpstr>
      <vt:lpstr>u_B</vt:lpstr>
      <vt:lpstr>u_C</vt:lpstr>
    </vt:vector>
  </TitlesOfParts>
  <Company>Osakidetza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Osakidetza</dc:creator>
  <cp:lastModifiedBy>Ane Berastegui Andueza</cp:lastModifiedBy>
  <dcterms:created xsi:type="dcterms:W3CDTF">2003-11-17T11:27:45Z</dcterms:created>
  <dcterms:modified xsi:type="dcterms:W3CDTF">2024-06-07T10:26:32Z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0x010100FA6F49E14CA9DC49B8F657AE3728265E</vt:lpwstr>
  </property>
</Properties>
</file>